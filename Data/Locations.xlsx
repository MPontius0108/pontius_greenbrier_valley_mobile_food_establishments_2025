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space\c11\Capstone\Data\"/>
    </mc:Choice>
  </mc:AlternateContent>
  <xr:revisionPtr revIDLastSave="0" documentId="13_ncr:1_{BB4BE4A8-CBD5-456C-A0BF-D7EE6D0F6433}" xr6:coauthVersionLast="47" xr6:coauthVersionMax="47" xr10:uidLastSave="{00000000-0000-0000-0000-000000000000}"/>
  <bookViews>
    <workbookView xWindow="-108" yWindow="-108" windowWidth="23256" windowHeight="13896" activeTab="2" xr2:uid="{C19B3D37-486A-4FBF-9698-635AA43B7B77}"/>
  </bookViews>
  <sheets>
    <sheet name="Event Locations" sheetId="1" r:id="rId1"/>
    <sheet name="Event Loc Slicer" sheetId="2" r:id="rId2"/>
    <sheet name="Restaurant Locations" sheetId="3" r:id="rId3"/>
    <sheet name="Type Counts" sheetId="4" r:id="rId4"/>
    <sheet name="Busiest Time Counts" sheetId="5" r:id="rId5"/>
    <sheet name="Sheet7" sheetId="7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</calcChain>
</file>

<file path=xl/sharedStrings.xml><?xml version="1.0" encoding="utf-8"?>
<sst xmlns="http://schemas.openxmlformats.org/spreadsheetml/2006/main" count="934" uniqueCount="308">
  <si>
    <t>WV Dandelion Festival</t>
  </si>
  <si>
    <t>Alderson Strawberry Festival</t>
  </si>
  <si>
    <t>Farmer's Day</t>
  </si>
  <si>
    <t>Ronceverte River Festival</t>
  </si>
  <si>
    <t>West Virginia Rennaisance Festival</t>
  </si>
  <si>
    <t>Alderson 4th of July Celebration</t>
  </si>
  <si>
    <t>State Fair of West Virginia</t>
  </si>
  <si>
    <t>Taste of our Towns Festival</t>
  </si>
  <si>
    <t>Union Harvest Festival</t>
  </si>
  <si>
    <t>Wild Trails Music Festival at the State Fair of WV</t>
  </si>
  <si>
    <t>Alderson Farm Fest at Sunset Berry Farm</t>
  </si>
  <si>
    <t>West Virginia Roadkill Cook-Off and Autumn Harvest Festival</t>
  </si>
  <si>
    <t>Pioneer Days</t>
  </si>
  <si>
    <t>Peterstown Harvest Market</t>
  </si>
  <si>
    <t>Ronceverte Food Truck Festival</t>
  </si>
  <si>
    <t>Main St. E, White Sulphur Springs, WV 24986</t>
  </si>
  <si>
    <t>Main St. E</t>
  </si>
  <si>
    <t>White Sulphur Springs</t>
  </si>
  <si>
    <t>WV</t>
  </si>
  <si>
    <t>Alderson</t>
  </si>
  <si>
    <t>Ronceverte</t>
  </si>
  <si>
    <t>Union</t>
  </si>
  <si>
    <t>Peterstown</t>
  </si>
  <si>
    <t>Late May</t>
  </si>
  <si>
    <t>Early June</t>
  </si>
  <si>
    <t>Route 219 S.</t>
  </si>
  <si>
    <t>Mid June</t>
  </si>
  <si>
    <t>23439 Midland Trail East</t>
  </si>
  <si>
    <t>Lewisburg</t>
  </si>
  <si>
    <t>947 Maplewood Ave.</t>
  </si>
  <si>
    <t>Late June</t>
  </si>
  <si>
    <t>Early July</t>
  </si>
  <si>
    <t>791 Sunset School Rd.</t>
  </si>
  <si>
    <t>Mid August</t>
  </si>
  <si>
    <t>Washington St.</t>
  </si>
  <si>
    <t>Early October</t>
  </si>
  <si>
    <t>6080 Willow Bend Rd</t>
  </si>
  <si>
    <t>Late September</t>
  </si>
  <si>
    <t>Early August</t>
  </si>
  <si>
    <t>200 Eighth Street</t>
  </si>
  <si>
    <t>Marlinton</t>
  </si>
  <si>
    <t>Mid July</t>
  </si>
  <si>
    <t>Early May</t>
  </si>
  <si>
    <t>Event</t>
  </si>
  <si>
    <t>Address</t>
  </si>
  <si>
    <t>City</t>
  </si>
  <si>
    <t>State</t>
  </si>
  <si>
    <t>ZIP</t>
  </si>
  <si>
    <t>Start</t>
  </si>
  <si>
    <t>End</t>
  </si>
  <si>
    <t>Time Window</t>
  </si>
  <si>
    <t>Whole Address</t>
  </si>
  <si>
    <t>947 Maplewood Ave., Lewisburg, WV 24901</t>
  </si>
  <si>
    <t>Route 219 S., Ronceverte, WV 24970</t>
  </si>
  <si>
    <t>23439 Midland Trail East, Lewisburg, WV 24901</t>
  </si>
  <si>
    <t>Washington St., Lewisburg, WV 24901</t>
  </si>
  <si>
    <t>6080 Willow Bend Rd, Union, WV 24983</t>
  </si>
  <si>
    <t>791 Sunset School Rd., Alderson, WV 24901</t>
  </si>
  <si>
    <t>200 Eighth Street, Marlinton, WV 24954</t>
  </si>
  <si>
    <t>Alderson, WV 24910</t>
  </si>
  <si>
    <t>Union, WV 24983</t>
  </si>
  <si>
    <t>Alderson, WV 24901</t>
  </si>
  <si>
    <t>Marlinton, WV 24954</t>
  </si>
  <si>
    <t>Peterstown, WV 24963</t>
  </si>
  <si>
    <t>Ronceverte, WV 24970</t>
  </si>
  <si>
    <t>Order</t>
  </si>
  <si>
    <t>MOCO DINER, LLC</t>
  </si>
  <si>
    <t>375 Main St, Union, WV 24983</t>
  </si>
  <si>
    <t>$10–20</t>
  </si>
  <si>
    <t>American</t>
  </si>
  <si>
    <t>Kalico Kitchen</t>
  </si>
  <si>
    <t>305 S Main St, Union, WV 24983</t>
  </si>
  <si>
    <t>$1–10</t>
  </si>
  <si>
    <t>The Knook</t>
  </si>
  <si>
    <t>285 Main St, Union, WV 24983</t>
  </si>
  <si>
    <t>Queen's Pizza &amp; Subs</t>
  </si>
  <si>
    <t>282 Main St, Union, WV 24983</t>
  </si>
  <si>
    <t>Pizza</t>
  </si>
  <si>
    <t>931 State Hwy 3 #12, Alderson, WV 24910</t>
  </si>
  <si>
    <t>Big Wheel Restaurant</t>
  </si>
  <si>
    <t>Momma Joan's Diner</t>
  </si>
  <si>
    <t>7997 Sweet Springs Valley Rd, Gap Mills, WV 24941</t>
  </si>
  <si>
    <t>8 AM–6 PM</t>
  </si>
  <si>
    <t>Wednesday</t>
  </si>
  <si>
    <t>7 AM–7 PM</t>
  </si>
  <si>
    <t>Sunday</t>
  </si>
  <si>
    <t>6:30 AM–8 PM</t>
  </si>
  <si>
    <t>Saturday</t>
  </si>
  <si>
    <t>4 PM–1 AM</t>
  </si>
  <si>
    <t>Monday</t>
  </si>
  <si>
    <t>Tuesday</t>
  </si>
  <si>
    <t>11 AM–9 PM</t>
  </si>
  <si>
    <t>8 AM–9 PM</t>
  </si>
  <si>
    <t>Pickaway Pickins</t>
  </si>
  <si>
    <t>3556 Seneca Trail N, Pickaway, WV 24976</t>
  </si>
  <si>
    <t>Mountain Mama’s BBQ</t>
  </si>
  <si>
    <t>8309 Seneca Trail S, Lindside, WV 24951</t>
  </si>
  <si>
    <t>BBQ</t>
  </si>
  <si>
    <t>11 AM–7 PM</t>
  </si>
  <si>
    <t>C&amp;C Diner</t>
  </si>
  <si>
    <t>7919 Seneca Trail S, Peterstown, WV 24963</t>
  </si>
  <si>
    <t>7 AM–8 PM</t>
  </si>
  <si>
    <t>Monroe</t>
  </si>
  <si>
    <t>Hometown Restaurant</t>
  </si>
  <si>
    <t>137 Market St, Peterstown, WV 24963</t>
  </si>
  <si>
    <t>7 AM–7:30 PM</t>
  </si>
  <si>
    <t>Fiesta Mexicana</t>
  </si>
  <si>
    <t>1816 Seneca Trail S, Peterstown, WV 24963</t>
  </si>
  <si>
    <t>Mexican</t>
  </si>
  <si>
    <t>11 AM–10 PM</t>
  </si>
  <si>
    <t>Dinner</t>
  </si>
  <si>
    <t>Lunch</t>
  </si>
  <si>
    <t>Fruits of Labor Alderson</t>
  </si>
  <si>
    <t>1447 E Riverview Ave, Alderson, WV 24910</t>
  </si>
  <si>
    <t>9 AM–3 PM</t>
  </si>
  <si>
    <t>Café</t>
  </si>
  <si>
    <t>Greenbrier</t>
  </si>
  <si>
    <t>Godfather's Pizza</t>
  </si>
  <si>
    <t>411 Alta Dr, Alderson, WV 24910</t>
  </si>
  <si>
    <t>Subway</t>
  </si>
  <si>
    <t>424 Alta Dr, Alderson, WV 24910</t>
  </si>
  <si>
    <t>7 AM–9 PM</t>
  </si>
  <si>
    <t>Sandwiches</t>
  </si>
  <si>
    <t>The Sportsman Tavern</t>
  </si>
  <si>
    <t>683 Edgar Ave W, Ronceverte, WV 24970</t>
  </si>
  <si>
    <t>12 PM–2 AM</t>
  </si>
  <si>
    <t>Yamato Steak House of Japan</t>
  </si>
  <si>
    <t>9073 Seneca Trail, Ronceverte, WV 24970</t>
  </si>
  <si>
    <t>Chico’s Mexican Restaurant</t>
  </si>
  <si>
    <t>124 Frankford Rd, Ronceverte, WV 24970</t>
  </si>
  <si>
    <t>11 AM–9:30 PM</t>
  </si>
  <si>
    <t>Dairy Queen Grill &amp; Chill</t>
  </si>
  <si>
    <t>9808 Seneca Trail S, Lewisburg, WV 24901</t>
  </si>
  <si>
    <t>Fast Food</t>
  </si>
  <si>
    <t>9 AM–9 PM</t>
  </si>
  <si>
    <t>Little Caesars Pizza</t>
  </si>
  <si>
    <t>126 Seneca Trail, Lewisburg, WV 24901</t>
  </si>
  <si>
    <t>10:30 AM–10 PM</t>
  </si>
  <si>
    <t>Long John Silver's</t>
  </si>
  <si>
    <t>9444 Seneca Trail S, Ronceverte, WV 24970</t>
  </si>
  <si>
    <t>10:30 AM–8 PM</t>
  </si>
  <si>
    <t>299 Seneca Trail, Ronceverte, WV 24970</t>
  </si>
  <si>
    <t>9 AM–10 PM</t>
  </si>
  <si>
    <t>McDonald's</t>
  </si>
  <si>
    <t>8721 Seneca Trail S, Ronceverte, WV 24970</t>
  </si>
  <si>
    <t>6 AM–11 PM</t>
  </si>
  <si>
    <t>Hog Wild Bbq</t>
  </si>
  <si>
    <t>116 Quarry Village Rd, Lewisburg, WV 24901</t>
  </si>
  <si>
    <t>11 AM–8 PM</t>
  </si>
  <si>
    <t>Burger King</t>
  </si>
  <si>
    <t>10097 Seneca Trail, Lewisburg, WV 24901</t>
  </si>
  <si>
    <t>Alfredo's Lewisburg</t>
  </si>
  <si>
    <t>369 Greenbrier Valley Mall Dr, Lewisburg, WV 24901</t>
  </si>
  <si>
    <t>Italian</t>
  </si>
  <si>
    <t>10:30 AM–9 PM</t>
  </si>
  <si>
    <t>Carlito's Méxican Restaurant</t>
  </si>
  <si>
    <t>475 Greenbrier Valley Mall Dr, Lewisburg, WV 24901</t>
  </si>
  <si>
    <t>The French Goat</t>
  </si>
  <si>
    <t>290 Lafayette St, Lewisburg, WV 24901</t>
  </si>
  <si>
    <t>$50–100</t>
  </si>
  <si>
    <t>French</t>
  </si>
  <si>
    <t>5–9 PM</t>
  </si>
  <si>
    <t>121 Stratton Alley Suite 9, Lewisburg, WV 24901</t>
  </si>
  <si>
    <t>Briergarten</t>
  </si>
  <si>
    <t>12 PM–12 AM</t>
  </si>
  <si>
    <t>Stardust Cafe</t>
  </si>
  <si>
    <t>1023 Washington St East, Lewisburg, WV 24901</t>
  </si>
  <si>
    <t>11 AM–3 PM, 5:30–9:30 PM</t>
  </si>
  <si>
    <t>The Livery Tavern</t>
  </si>
  <si>
    <t>1134 E Washington St, Lewisburg, WV 24901</t>
  </si>
  <si>
    <t>The Asylum</t>
  </si>
  <si>
    <t>399 Randolph St, Lewisburg, WV 24901</t>
  </si>
  <si>
    <t xml:space="preserve">$10–20	</t>
  </si>
  <si>
    <t>11 AM–12 AM</t>
  </si>
  <si>
    <t>Old Red Mill Taphouse Grille</t>
  </si>
  <si>
    <t>Jefferson St N, Lewisburg, WV 24901</t>
  </si>
  <si>
    <t>Amy's Market</t>
  </si>
  <si>
    <t>990 Jefferson St N, Lewisburg, WV 24901</t>
  </si>
  <si>
    <t>Bakery</t>
  </si>
  <si>
    <t>8 AM–8 PM</t>
  </si>
  <si>
    <t>Corn+Flour</t>
  </si>
  <si>
    <t>818 N Court St, Lewisburg, WV 24901</t>
  </si>
  <si>
    <t>8 AM–2 PM</t>
  </si>
  <si>
    <t>Del Sol</t>
  </si>
  <si>
    <t>206 West Washington St, Lewisburg, WV 24901</t>
  </si>
  <si>
    <t>The Humble Tomato</t>
  </si>
  <si>
    <t> 855 Washington St W, Lewisburg, WV 24901</t>
  </si>
  <si>
    <t>Food &amp; Friends</t>
  </si>
  <si>
    <t>878 Washington St, Lewisburg, WV 24901</t>
  </si>
  <si>
    <t>11 AM–3 PM, 4:30–8 PM</t>
  </si>
  <si>
    <t>Hill &amp; Holler</t>
  </si>
  <si>
    <t>886 Washington St W, Lewisburg, WV 24901</t>
  </si>
  <si>
    <t>11 AM–11 PM</t>
  </si>
  <si>
    <t>Jim's Drive In</t>
  </si>
  <si>
    <t>479 Washington St, Lewisburg, WV 24901</t>
  </si>
  <si>
    <t>10 AM–3 PM</t>
  </si>
  <si>
    <t>Thursday</t>
  </si>
  <si>
    <t>The Market</t>
  </si>
  <si>
    <t>215 Washington St, Lewisburg, WV 24901</t>
  </si>
  <si>
    <t>8 AM–3 PM</t>
  </si>
  <si>
    <t>China Palace Restaurant</t>
  </si>
  <si>
    <t>1615 Jefferson St N, Lewisburg, WV 24901</t>
  </si>
  <si>
    <t>11 AM–8:30 PM</t>
  </si>
  <si>
    <t>Taco Bell</t>
  </si>
  <si>
    <t>303 Gateway Blvd, Lewisburg, WV 24901</t>
  </si>
  <si>
    <t>9 AM–2 AM</t>
  </si>
  <si>
    <t>259 Gateway Blvd A4, Lewisburg, WV 24901</t>
  </si>
  <si>
    <t>Papa Johns Pizza</t>
  </si>
  <si>
    <t>237 Gateway Blvd Suite 2, Lewisburg, WV 24901</t>
  </si>
  <si>
    <t>10:30 AM–11 PM</t>
  </si>
  <si>
    <t>Bob Evans</t>
  </si>
  <si>
    <t>1 Gateway Blvd, Lewisburg, WV 24901</t>
  </si>
  <si>
    <t>Arby's</t>
  </si>
  <si>
    <t>119 Piercy Dr, Lewisburg, WV 24901</t>
  </si>
  <si>
    <t>10 AM–10 PM</t>
  </si>
  <si>
    <t>Applebee's Grill + Bar</t>
  </si>
  <si>
    <t>197 Piercy Dr, Lewisburg, WV 24901</t>
  </si>
  <si>
    <t>Silver Dragon</t>
  </si>
  <si>
    <t>250 Piercy Dr #23, Lewisburg, WV 24901</t>
  </si>
  <si>
    <t>Bellacino's Pizza &amp; Grinders</t>
  </si>
  <si>
    <t>250 Piercy Dr Ste 10, Lewisburg, WV 24901</t>
  </si>
  <si>
    <t>Fujiyama</t>
  </si>
  <si>
    <t>250 Piercy Dr, Lewisburg, WV 24901</t>
  </si>
  <si>
    <t>Hardee’s</t>
  </si>
  <si>
    <t>2029 Jefferson St N, Lewisburg, WV 24901</t>
  </si>
  <si>
    <t>4:30 AM–10 PM</t>
  </si>
  <si>
    <t>Breakfast</t>
  </si>
  <si>
    <t>The Brier Patch Bar</t>
  </si>
  <si>
    <t>178 Coleman Dr, Lewisburg, WV 24901</t>
  </si>
  <si>
    <t>Pub &amp; Grill</t>
  </si>
  <si>
    <t>Habaneros Mexican Grill</t>
  </si>
  <si>
    <t>2140 Jefferson St Suite #100, Lewisburg, WV 24901</t>
  </si>
  <si>
    <t>Shoney's</t>
  </si>
  <si>
    <t>Hwy 219 N, Coleman Dr and, Lewisburg, WV 24901</t>
  </si>
  <si>
    <t>Ruby Tuesday</t>
  </si>
  <si>
    <t>151 Coleman Dr, Lewisburg, WV 24901</t>
  </si>
  <si>
    <t>$20–30</t>
  </si>
  <si>
    <t>Domino's Pizza</t>
  </si>
  <si>
    <t>213 Coleman Dr Suite A, Lewisburg, WV 24901</t>
  </si>
  <si>
    <t>10:30 AM–12 AM</t>
  </si>
  <si>
    <t>725 Jefferson St N, Lewisburg, WV 24901</t>
  </si>
  <si>
    <t>Tudor's Biscuit World</t>
  </si>
  <si>
    <t>5:30 AM–7 PM</t>
  </si>
  <si>
    <t>14967 US-219, Lewisburg, WV 24901</t>
  </si>
  <si>
    <t>Cook's | Country Kitchen</t>
  </si>
  <si>
    <t>38154 Midland Trail E, White Sulphur Springs, WV 24986</t>
  </si>
  <si>
    <t>Pho King</t>
  </si>
  <si>
    <t>529 Main St W, White Sulphur Springs, WV 24986</t>
  </si>
  <si>
    <t>Asian</t>
  </si>
  <si>
    <t>The Lunch Box</t>
  </si>
  <si>
    <t>114 Caldwell Dr, White Sulphur Springs, WV 24986</t>
  </si>
  <si>
    <t>10:30 AM–3 PM</t>
  </si>
  <si>
    <t>Tootsie's Place</t>
  </si>
  <si>
    <t>728 Main St E, White Sulphur Springs, WV 24986</t>
  </si>
  <si>
    <t>7 AM–4 PM</t>
  </si>
  <si>
    <t>Gustard's Bistro</t>
  </si>
  <si>
    <t>759 Main St E, White Sulphur Springs, WV 24986</t>
  </si>
  <si>
    <t>Max on Main</t>
  </si>
  <si>
    <t>789 Main St E, White Sulphur Springs, WV 24986</t>
  </si>
  <si>
    <t>103 Main St E, White Sulphur Springs, WV 24986</t>
  </si>
  <si>
    <t>April's Pizzeria</t>
  </si>
  <si>
    <t>705 Main St E, White Sulphur Springs, WV 24986</t>
  </si>
  <si>
    <t>Mill Creek Homestyle Bakery</t>
  </si>
  <si>
    <t> 200 Pocahontas Trl Suite 4, White Sulphur Springs, WV 24986</t>
  </si>
  <si>
    <t>8 AM–5 PM</t>
  </si>
  <si>
    <t>164 Pocahontas Trl, White Sulphur Springs, WV 24986</t>
  </si>
  <si>
    <t>5:30 AM–9 PM</t>
  </si>
  <si>
    <t>1 Seneca Trail, Marlinton, WV 24954</t>
  </si>
  <si>
    <t>7 AM–10 PM</t>
  </si>
  <si>
    <t>Pocahontas</t>
  </si>
  <si>
    <t>Greenbrier Grille and Lodge</t>
  </si>
  <si>
    <t>814 1st Ave, Marlinton, WV 24954</t>
  </si>
  <si>
    <t>Diner</t>
  </si>
  <si>
    <t>Dirtbean</t>
  </si>
  <si>
    <t>818 2nd Ave, Marlinton, WV 24954</t>
  </si>
  <si>
    <t>Alfredo's Italian &amp; Greek</t>
  </si>
  <si>
    <t>221 8th St, Marlinton, WV 24954</t>
  </si>
  <si>
    <t>Old Mountain Tavern</t>
  </si>
  <si>
    <t>Rivertown Cafe</t>
  </si>
  <si>
    <t>309 8th St, Marlinton, WV 24954</t>
  </si>
  <si>
    <t>8:30 AM–6 PM</t>
  </si>
  <si>
    <t>827 3rd Ave, Marlinton, WV 24954</t>
  </si>
  <si>
    <t>Dari Land</t>
  </si>
  <si>
    <t>4PM–10 PM</t>
  </si>
  <si>
    <t>Trailhead Pizza Co.</t>
  </si>
  <si>
    <t>916 3rd Ave, Marlinton, WV 24954</t>
  </si>
  <si>
    <t>19158 Seneca Trail, Marlinton, WV 24954</t>
  </si>
  <si>
    <t>Hillsboro Public House</t>
  </si>
  <si>
    <t>7484 Seneca Trail, Hillsboro, WV 24946</t>
  </si>
  <si>
    <t>Name</t>
  </si>
  <si>
    <t>Median Price per Person</t>
  </si>
  <si>
    <t>Type</t>
  </si>
  <si>
    <t>Hours</t>
  </si>
  <si>
    <t>Closed</t>
  </si>
  <si>
    <t>County</t>
  </si>
  <si>
    <t>Busiest Time</t>
  </si>
  <si>
    <t>Wendy's</t>
  </si>
  <si>
    <t>1 Red Oaks Shopping Center, Ronceverte, WV 24970</t>
  </si>
  <si>
    <t>6:30 AM–12 AM</t>
  </si>
  <si>
    <t>Never</t>
  </si>
  <si>
    <t>Row Labels</t>
  </si>
  <si>
    <t>(blank)</t>
  </si>
  <si>
    <t>Grand Total</t>
  </si>
  <si>
    <t>Count of Type</t>
  </si>
  <si>
    <t>Count of Busiest Time</t>
  </si>
  <si>
    <t>Count of Median Price per Person</t>
  </si>
  <si>
    <t>Duration (days)</t>
  </si>
  <si>
    <t>Closed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</si>
</sst>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757787847222" createdVersion="8" refreshedVersion="8" minRefreshableVersion="3" recordCount="98" xr:uid="{81CB9394-AF53-447D-9556-98E4438ABF21}">
  <cacheSource type="worksheet">
    <worksheetSource ref="A1:J99" sheet="Restaurant Locations"/>
  </cacheSource>
  <cacheFields count="9">
    <cacheField name="Name" numFmtId="0">
      <sharedItems/>
    </cacheField>
    <cacheField name="Address" numFmtId="0">
      <sharedItems/>
    </cacheField>
    <cacheField name="Median Price per Person" numFmtId="0">
      <sharedItems containsBlank="1" count="6">
        <s v="$10–20"/>
        <s v="$1–10"/>
        <m/>
        <s v="$50–100"/>
        <s v="$10–20_x0009_"/>
        <s v="$20–30"/>
      </sharedItems>
    </cacheField>
    <cacheField name="Type" numFmtId="0">
      <sharedItems containsBlank="1" count="14">
        <s v="Diner"/>
        <s v="Pub &amp; Grill"/>
        <m/>
        <s v="Pizza"/>
        <s v="American"/>
        <s v="BBQ"/>
        <s v="Mexican"/>
        <s v="Café"/>
        <s v="Sandwiches"/>
        <s v="Asian"/>
        <s v="Fast Food"/>
        <s v="Italian"/>
        <s v="French"/>
        <s v="Bakery"/>
      </sharedItems>
    </cacheField>
    <cacheField name="Hours" numFmtId="0">
      <sharedItems/>
    </cacheField>
    <cacheField name="Closed" numFmtId="0">
      <sharedItems/>
    </cacheField>
    <cacheField name="County" numFmtId="0">
      <sharedItems containsBlank="1"/>
    </cacheField>
    <cacheField name="City" numFmtId="0">
      <sharedItems containsBlank="1"/>
    </cacheField>
    <cacheField name="Busiest Time" numFmtId="0">
      <sharedItems containsBlank="1" count="4">
        <s v="Lunch"/>
        <s v="Dinner"/>
        <m/>
        <s v="Breakfa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MOCO DINER, LLC"/>
    <s v="375 Main St, Union, WV 24983"/>
    <x v="0"/>
    <x v="0"/>
    <s v="7 AM–7 PM"/>
    <s v="Sunday"/>
    <s v="Monroe"/>
    <s v="Union"/>
    <x v="0"/>
  </r>
  <r>
    <s v="Kalico Kitchen"/>
    <s v="305 S Main St, Union, WV 24983"/>
    <x v="1"/>
    <x v="0"/>
    <s v="6:30 AM–8 PM"/>
    <s v="Never"/>
    <s v="Monroe"/>
    <s v="Union"/>
    <x v="0"/>
  </r>
  <r>
    <s v="The Knook"/>
    <s v="285 Main St, Union, WV 24983"/>
    <x v="0"/>
    <x v="1"/>
    <s v="4 PM–1 AM"/>
    <s v="Monday"/>
    <s v="Monroe"/>
    <s v="Union"/>
    <x v="1"/>
  </r>
  <r>
    <s v="The Knook"/>
    <s v="285 Main St, Union, WV 24983"/>
    <x v="2"/>
    <x v="2"/>
    <s v="4 PM–1 AM"/>
    <s v="Tuesday"/>
    <m/>
    <m/>
    <x v="2"/>
  </r>
  <r>
    <s v="Queen's Pizza &amp; Subs"/>
    <s v="282 Main St, Union, WV 24983"/>
    <x v="0"/>
    <x v="3"/>
    <s v="11 AM–9 PM"/>
    <s v="Never"/>
    <s v="Monroe"/>
    <s v="Union"/>
    <x v="1"/>
  </r>
  <r>
    <s v="Big Wheel Restaurant"/>
    <s v="931 State Hwy 3 #12, Alderson, WV 24910"/>
    <x v="0"/>
    <x v="4"/>
    <s v="8 AM–9 PM"/>
    <s v="Never"/>
    <s v="Greenbrier"/>
    <s v="Alderson"/>
    <x v="1"/>
  </r>
  <r>
    <s v="Momma Joan's Diner"/>
    <s v="7997 Sweet Springs Valley Rd, Gap Mills, WV 24941"/>
    <x v="0"/>
    <x v="0"/>
    <s v="8 AM–6 PM"/>
    <s v="Wednesday"/>
    <s v="Monroe"/>
    <m/>
    <x v="2"/>
  </r>
  <r>
    <s v="Pickaway Pickins"/>
    <s v="3556 Seneca Trail N, Pickaway, WV 24976"/>
    <x v="0"/>
    <x v="4"/>
    <s v="11 AM–9 PM"/>
    <s v="Monday"/>
    <s v="Monroe"/>
    <m/>
    <x v="1"/>
  </r>
  <r>
    <s v="Mountain Mama’s BBQ"/>
    <s v="8309 Seneca Trail S, Lindside, WV 24951"/>
    <x v="0"/>
    <x v="5"/>
    <s v="11 AM–7 PM"/>
    <s v="Sunday"/>
    <s v="Monroe"/>
    <m/>
    <x v="0"/>
  </r>
  <r>
    <s v="Mountain Mama’s BBQ"/>
    <s v="8309 Seneca Trail S, Lindside, WV 24951"/>
    <x v="2"/>
    <x v="2"/>
    <s v="11 AM–7 PM"/>
    <s v="Monday"/>
    <m/>
    <m/>
    <x v="2"/>
  </r>
  <r>
    <s v="C&amp;C Diner"/>
    <s v="7919 Seneca Trail S, Peterstown, WV 24963"/>
    <x v="0"/>
    <x v="0"/>
    <s v="7 AM–8 PM"/>
    <s v="Sunday"/>
    <s v="Monroe"/>
    <s v="Peterstown"/>
    <x v="0"/>
  </r>
  <r>
    <s v="Hometown Restaurant"/>
    <s v="137 Market St, Peterstown, WV 24963"/>
    <x v="0"/>
    <x v="0"/>
    <s v="7 AM–7:30 PM"/>
    <s v="Never"/>
    <s v="Monroe"/>
    <s v="Peterstown"/>
    <x v="0"/>
  </r>
  <r>
    <s v="Fiesta Mexicana"/>
    <s v="1816 Seneca Trail S, Peterstown, WV 24963"/>
    <x v="0"/>
    <x v="6"/>
    <s v="11 AM–10 PM"/>
    <s v="Monday"/>
    <s v="Monroe"/>
    <s v="Peterstown"/>
    <x v="1"/>
  </r>
  <r>
    <s v="Fruits of Labor Alderson"/>
    <s v="1447 E Riverview Ave, Alderson, WV 24910"/>
    <x v="0"/>
    <x v="7"/>
    <s v="9 AM–3 PM"/>
    <s v="Sunday"/>
    <s v="Greenbrier"/>
    <s v="Alderson"/>
    <x v="0"/>
  </r>
  <r>
    <s v="Fruits of Labor Alderson"/>
    <s v="1447 E Riverview Ave, Alderson, WV 24910"/>
    <x v="2"/>
    <x v="2"/>
    <s v="9 AM–3 PM"/>
    <s v="Monday"/>
    <m/>
    <m/>
    <x v="2"/>
  </r>
  <r>
    <s v="Godfather's Pizza"/>
    <s v="411 Alta Dr, Alderson, WV 24910"/>
    <x v="1"/>
    <x v="3"/>
    <s v="11 AM–9 PM"/>
    <s v="Never"/>
    <s v="Greenbrier"/>
    <s v="Alderson"/>
    <x v="1"/>
  </r>
  <r>
    <s v="Subway"/>
    <s v="424 Alta Dr, Alderson, WV 24910"/>
    <x v="1"/>
    <x v="8"/>
    <s v="7 AM–9 PM"/>
    <s v="Never"/>
    <s v="Greenbrier"/>
    <s v="Alderson"/>
    <x v="1"/>
  </r>
  <r>
    <s v="The Sportsman Tavern"/>
    <s v="683 Edgar Ave W, Ronceverte, WV 24970"/>
    <x v="0"/>
    <x v="1"/>
    <s v="12 PM–2 AM"/>
    <s v="Never"/>
    <s v="Greenbrier"/>
    <s v="Ronceverte"/>
    <x v="1"/>
  </r>
  <r>
    <s v="Yamato Steak House of Japan"/>
    <s v="9073 Seneca Trail, Ronceverte, WV 24970"/>
    <x v="0"/>
    <x v="9"/>
    <s v="11 AM–9 PM"/>
    <s v="Tuesday"/>
    <s v="Greenbrier"/>
    <s v="Ronceverte"/>
    <x v="1"/>
  </r>
  <r>
    <s v="Chico’s Mexican Restaurant"/>
    <s v="124 Frankford Rd, Ronceverte, WV 24970"/>
    <x v="0"/>
    <x v="6"/>
    <s v="11 AM–9:30 PM"/>
    <s v="Never"/>
    <s v="Greenbrier"/>
    <s v="Ronceverte"/>
    <x v="1"/>
  </r>
  <r>
    <s v="Dairy Queen Grill &amp; Chill"/>
    <s v="9808 Seneca Trail S, Lewisburg, WV 24901"/>
    <x v="1"/>
    <x v="10"/>
    <s v="9 AM–9 PM"/>
    <s v="Never"/>
    <s v="Greenbrier"/>
    <s v="Lewisburg"/>
    <x v="1"/>
  </r>
  <r>
    <s v="Little Caesars Pizza"/>
    <s v="126 Seneca Trail, Lewisburg, WV 24901"/>
    <x v="1"/>
    <x v="3"/>
    <s v="10:30 AM–10 PM"/>
    <s v="Never"/>
    <s v="Greenbrier"/>
    <s v="Lewisburg"/>
    <x v="1"/>
  </r>
  <r>
    <s v="Long John Silver's"/>
    <s v="9444 Seneca Trail S, Ronceverte, WV 24970"/>
    <x v="0"/>
    <x v="10"/>
    <s v="10:30 AM–8 PM"/>
    <s v="Never"/>
    <s v="Greenbrier"/>
    <s v="Ronceverte"/>
    <x v="1"/>
  </r>
  <r>
    <s v="Subway"/>
    <s v="299 Seneca Trail, Ronceverte, WV 24970"/>
    <x v="1"/>
    <x v="8"/>
    <s v="9 AM–10 PM"/>
    <s v="Never"/>
    <s v="Greenbrier"/>
    <s v="Ronceverte"/>
    <x v="1"/>
  </r>
  <r>
    <s v="McDonald's"/>
    <s v="8721 Seneca Trail S, Ronceverte, WV 24970"/>
    <x v="1"/>
    <x v="10"/>
    <s v="6 AM–11 PM"/>
    <s v="Never"/>
    <s v="Greenbrier"/>
    <s v="Ronceverte"/>
    <x v="0"/>
  </r>
  <r>
    <s v="Hog Wild Bbq"/>
    <s v="116 Quarry Village Rd, Lewisburg, WV 24901"/>
    <x v="0"/>
    <x v="5"/>
    <s v="11 AM–8 PM"/>
    <s v="Never"/>
    <s v="Greenbrier"/>
    <s v="Lewisburg"/>
    <x v="1"/>
  </r>
  <r>
    <s v="Burger King"/>
    <s v="10097 Seneca Trail, Lewisburg, WV 24901"/>
    <x v="1"/>
    <x v="10"/>
    <s v="6 AM–11 PM"/>
    <s v="Never"/>
    <s v="Greenbrier"/>
    <s v="Lewisburg"/>
    <x v="0"/>
  </r>
  <r>
    <s v="Alfredo's Lewisburg"/>
    <s v="369 Greenbrier Valley Mall Dr, Lewisburg, WV 24901"/>
    <x v="0"/>
    <x v="11"/>
    <s v="10:30 AM–9 PM"/>
    <s v="Never"/>
    <s v="Greenbrier"/>
    <s v="Lewisburg"/>
    <x v="1"/>
  </r>
  <r>
    <s v="Carlito's Méxican Restaurant"/>
    <s v="475 Greenbrier Valley Mall Dr, Lewisburg, WV 24901"/>
    <x v="0"/>
    <x v="6"/>
    <s v="11 AM–10 PM"/>
    <s v="Never"/>
    <s v="Greenbrier"/>
    <s v="Lewisburg"/>
    <x v="1"/>
  </r>
  <r>
    <s v="The French Goat"/>
    <s v="290 Lafayette St, Lewisburg, WV 24901"/>
    <x v="3"/>
    <x v="12"/>
    <s v="5–9 PM"/>
    <s v="Monday"/>
    <s v="Greenbrier"/>
    <s v="Lewisburg"/>
    <x v="1"/>
  </r>
  <r>
    <s v="The French Goat"/>
    <s v="290 Lafayette St, Lewisburg, WV 24901"/>
    <x v="2"/>
    <x v="2"/>
    <s v="5–9 PM"/>
    <s v="Tuesday"/>
    <m/>
    <m/>
    <x v="2"/>
  </r>
  <r>
    <s v="The French Goat"/>
    <s v="290 Lafayette St, Lewisburg, WV 24901"/>
    <x v="2"/>
    <x v="2"/>
    <s v="5–9 PM"/>
    <s v="Wednesday"/>
    <m/>
    <m/>
    <x v="2"/>
  </r>
  <r>
    <s v="Briergarten"/>
    <s v="121 Stratton Alley Suite 9, Lewisburg, WV 24901"/>
    <x v="0"/>
    <x v="1"/>
    <s v="12 PM–12 AM"/>
    <s v="Never"/>
    <s v="Greenbrier"/>
    <s v="Lewisburg"/>
    <x v="1"/>
  </r>
  <r>
    <s v="Stardust Cafe"/>
    <s v="1023 Washington St East, Lewisburg, WV 24901"/>
    <x v="0"/>
    <x v="7"/>
    <s v="11 AM–3 PM, 5:30–9:30 PM"/>
    <s v="Sunday"/>
    <s v="Greenbrier"/>
    <s v="Lewisburg"/>
    <x v="0"/>
  </r>
  <r>
    <s v="The Livery Tavern"/>
    <s v="1134 E Washington St, Lewisburg, WV 24901"/>
    <x v="3"/>
    <x v="4"/>
    <s v="5–9 PM"/>
    <s v="Sunday"/>
    <s v="Greenbrier"/>
    <s v="Lewisburg"/>
    <x v="1"/>
  </r>
  <r>
    <s v="The Livery Tavern"/>
    <s v="1134 E Washington St, Lewisburg, WV 24901"/>
    <x v="2"/>
    <x v="2"/>
    <s v="5–9 PM"/>
    <s v="Monday"/>
    <m/>
    <m/>
    <x v="2"/>
  </r>
  <r>
    <s v="The Asylum"/>
    <s v="399 Randolph St, Lewisburg, WV 24901"/>
    <x v="4"/>
    <x v="1"/>
    <s v="11 AM–12 AM"/>
    <s v="Tuesday"/>
    <s v="Greenbrier"/>
    <s v="Lewisburg"/>
    <x v="1"/>
  </r>
  <r>
    <s v="Old Red Mill Taphouse Grille"/>
    <s v="Jefferson St N, Lewisburg, WV 24901"/>
    <x v="4"/>
    <x v="4"/>
    <s v="11 AM–9 PM"/>
    <s v="Monday"/>
    <s v="Greenbrier"/>
    <s v="Lewisburg"/>
    <x v="1"/>
  </r>
  <r>
    <s v="Amy's Market"/>
    <s v="990 Jefferson St N, Lewisburg, WV 24901"/>
    <x v="4"/>
    <x v="13"/>
    <s v="8 AM–8 PM"/>
    <s v="Sunday"/>
    <s v="Greenbrier"/>
    <s v="Lewisburg"/>
    <x v="0"/>
  </r>
  <r>
    <s v="Amy's Market"/>
    <s v="990 Jefferson St N, Lewisburg, WV 24901"/>
    <x v="2"/>
    <x v="2"/>
    <s v="8 AM–8 PM"/>
    <s v="Monday"/>
    <m/>
    <m/>
    <x v="2"/>
  </r>
  <r>
    <s v="Corn+Flour"/>
    <s v="818 N Court St, Lewisburg, WV 24901"/>
    <x v="1"/>
    <x v="13"/>
    <s v="8 AM–2 PM"/>
    <s v="Sunday"/>
    <s v="Greenbrier"/>
    <s v="Lewisburg"/>
    <x v="0"/>
  </r>
  <r>
    <s v="Del Sol"/>
    <s v="206 West Washington St, Lewisburg, WV 24901"/>
    <x v="0"/>
    <x v="6"/>
    <s v="11 AM–9 PM"/>
    <s v="Sunday"/>
    <s v="Greenbrier"/>
    <s v="Lewisburg"/>
    <x v="1"/>
  </r>
  <r>
    <s v="The Humble Tomato"/>
    <s v=" 855 Washington St W, Lewisburg, WV 24901"/>
    <x v="0"/>
    <x v="11"/>
    <s v="11 AM–9 PM"/>
    <s v="Tuesday"/>
    <s v="Greenbrier"/>
    <s v="Lewisburg"/>
    <x v="1"/>
  </r>
  <r>
    <s v="The Humble Tomato"/>
    <s v=" 855 Washington St W, Lewisburg, WV 24901"/>
    <x v="2"/>
    <x v="2"/>
    <s v="11 AM–9 PM"/>
    <s v="Wednesday"/>
    <m/>
    <m/>
    <x v="2"/>
  </r>
  <r>
    <s v="Food &amp; Friends"/>
    <s v="878 Washington St, Lewisburg, WV 24901"/>
    <x v="0"/>
    <x v="4"/>
    <s v="11 AM–3 PM, 4:30–8 PM"/>
    <s v="Sunday"/>
    <s v="Greenbrier"/>
    <s v="Lewisburg"/>
    <x v="1"/>
  </r>
  <r>
    <s v="Food &amp; Friends"/>
    <s v="878 Washington St, Lewisburg, WV 24901"/>
    <x v="2"/>
    <x v="2"/>
    <s v="11 AM–3 PM, 4:30–8 PM"/>
    <s v="Monday"/>
    <m/>
    <m/>
    <x v="2"/>
  </r>
  <r>
    <s v="Hill &amp; Holler"/>
    <s v="886 Washington St W, Lewisburg, WV 24901"/>
    <x v="0"/>
    <x v="4"/>
    <s v="11 AM–11 PM"/>
    <s v="Monday"/>
    <s v="Greenbrier"/>
    <s v="Lewisburg"/>
    <x v="1"/>
  </r>
  <r>
    <s v="Jim's Drive In"/>
    <s v="479 Washington St, Lewisburg, WV 24901"/>
    <x v="1"/>
    <x v="4"/>
    <s v="10 AM–3 PM"/>
    <s v="Sunday"/>
    <s v="Greenbrier"/>
    <s v="Lewisburg"/>
    <x v="0"/>
  </r>
  <r>
    <s v="Jim's Drive In"/>
    <s v="479 Washington St, Lewisburg, WV 24901"/>
    <x v="2"/>
    <x v="2"/>
    <s v="10 AM–3 PM"/>
    <s v="Wednesday"/>
    <m/>
    <m/>
    <x v="2"/>
  </r>
  <r>
    <s v="Jim's Drive In"/>
    <s v="479 Washington St, Lewisburg, WV 24901"/>
    <x v="2"/>
    <x v="2"/>
    <s v="10 AM–3 PM"/>
    <s v="Thursday"/>
    <m/>
    <m/>
    <x v="2"/>
  </r>
  <r>
    <s v="The Market"/>
    <s v="215 Washington St, Lewisburg, WV 24901"/>
    <x v="0"/>
    <x v="8"/>
    <s v="8 AM–3 PM"/>
    <s v="Saturday"/>
    <s v="Greenbrier"/>
    <s v="Lewisburg"/>
    <x v="0"/>
  </r>
  <r>
    <s v="The Market"/>
    <s v="215 Washington St, Lewisburg, WV 24901"/>
    <x v="2"/>
    <x v="2"/>
    <s v="8 AM–3 PM"/>
    <s v="Sunday"/>
    <m/>
    <m/>
    <x v="2"/>
  </r>
  <r>
    <s v="China Palace Restaurant"/>
    <s v="1615 Jefferson St N, Lewisburg, WV 24901"/>
    <x v="0"/>
    <x v="9"/>
    <s v="11 AM–8:30 PM"/>
    <s v="Wednesday"/>
    <s v="Greenbrier"/>
    <s v="Lewisburg"/>
    <x v="1"/>
  </r>
  <r>
    <s v="Taco Bell"/>
    <s v="303 Gateway Blvd, Lewisburg, WV 24901"/>
    <x v="1"/>
    <x v="10"/>
    <s v="9 AM–2 AM"/>
    <s v="Never"/>
    <s v="Greenbrier"/>
    <s v="Lewisburg"/>
    <x v="0"/>
  </r>
  <r>
    <s v="Subway"/>
    <s v="259 Gateway Blvd A4, Lewisburg, WV 24901"/>
    <x v="1"/>
    <x v="8"/>
    <s v="9 AM–10 PM"/>
    <s v="Never"/>
    <s v="Greenbrier"/>
    <s v="Lewisburg"/>
    <x v="0"/>
  </r>
  <r>
    <s v="Papa Johns Pizza"/>
    <s v="237 Gateway Blvd Suite 2, Lewisburg, WV 24901"/>
    <x v="0"/>
    <x v="3"/>
    <s v="10:30 AM–11 PM"/>
    <s v="Never"/>
    <s v="Greenbrier"/>
    <s v="Lewisburg"/>
    <x v="1"/>
  </r>
  <r>
    <s v="Bob Evans"/>
    <s v="1 Gateway Blvd, Lewisburg, WV 24901"/>
    <x v="0"/>
    <x v="0"/>
    <s v="7 AM–9 PM"/>
    <s v="Never"/>
    <s v="Greenbrier"/>
    <s v="Lewisburg"/>
    <x v="0"/>
  </r>
  <r>
    <s v="Arby's"/>
    <s v="119 Piercy Dr, Lewisburg, WV 24901"/>
    <x v="1"/>
    <x v="10"/>
    <s v="10 AM–10 PM"/>
    <s v="Never"/>
    <s v="Greenbrier"/>
    <s v="Lewisburg"/>
    <x v="0"/>
  </r>
  <r>
    <s v="Applebee's Grill + Bar"/>
    <s v="197 Piercy Dr, Lewisburg, WV 24901"/>
    <x v="0"/>
    <x v="4"/>
    <s v="11 AM–12 AM"/>
    <s v="Never"/>
    <s v="Greenbrier"/>
    <s v="Lewisburg"/>
    <x v="1"/>
  </r>
  <r>
    <s v="Silver Dragon"/>
    <s v="250 Piercy Dr #23, Lewisburg, WV 24901"/>
    <x v="0"/>
    <x v="9"/>
    <s v="11 AM–7 PM"/>
    <s v="Sunday"/>
    <s v="Greenbrier"/>
    <s v="Lewisburg"/>
    <x v="1"/>
  </r>
  <r>
    <s v="Bellacino's Pizza &amp; Grinders"/>
    <s v="250 Piercy Dr Ste 10, Lewisburg, WV 24901"/>
    <x v="0"/>
    <x v="3"/>
    <s v="11 AM–9 PM"/>
    <s v="Never"/>
    <s v="Greenbrier"/>
    <s v="Lewisburg"/>
    <x v="1"/>
  </r>
  <r>
    <s v="Fujiyama"/>
    <s v="250 Piercy Dr, Lewisburg, WV 24901"/>
    <x v="0"/>
    <x v="9"/>
    <s v="11 AM–9 PM"/>
    <s v="Never"/>
    <s v="Greenbrier"/>
    <s v="Lewisburg"/>
    <x v="1"/>
  </r>
  <r>
    <s v="Hardee’s"/>
    <s v="2029 Jefferson St N, Lewisburg, WV 24901"/>
    <x v="1"/>
    <x v="10"/>
    <s v="4:30 AM–10 PM"/>
    <s v="Never"/>
    <s v="Greenbrier"/>
    <s v="Lewisburg"/>
    <x v="3"/>
  </r>
  <r>
    <s v="The Brier Patch Bar"/>
    <s v="178 Coleman Dr, Lewisburg, WV 24901"/>
    <x v="0"/>
    <x v="1"/>
    <s v="11 AM–12 AM"/>
    <s v="Sunday"/>
    <s v="Greenbrier"/>
    <s v="Lewisburg"/>
    <x v="1"/>
  </r>
  <r>
    <s v="Habaneros Mexican Grill"/>
    <s v="2140 Jefferson St Suite #100, Lewisburg, WV 24901"/>
    <x v="0"/>
    <x v="6"/>
    <s v="11 AM–10 PM"/>
    <s v="Never"/>
    <s v="Greenbrier"/>
    <s v="Lewisburg"/>
    <x v="1"/>
  </r>
  <r>
    <s v="Shoney's"/>
    <s v="Hwy 219 N, Coleman Dr and, Lewisburg, WV 24901"/>
    <x v="0"/>
    <x v="4"/>
    <s v="7 AM–9 PM"/>
    <s v="Never"/>
    <s v="Greenbrier"/>
    <s v="Lewisburg"/>
    <x v="3"/>
  </r>
  <r>
    <s v="Ruby Tuesday"/>
    <s v="151 Coleman Dr, Lewisburg, WV 24901"/>
    <x v="5"/>
    <x v="4"/>
    <s v="11 AM–11 PM"/>
    <s v="Never"/>
    <s v="Greenbrier"/>
    <s v="Lewisburg"/>
    <x v="1"/>
  </r>
  <r>
    <s v="Domino's Pizza"/>
    <s v="213 Coleman Dr Suite A, Lewisburg, WV 24901"/>
    <x v="0"/>
    <x v="3"/>
    <s v="10:30 AM–12 AM"/>
    <s v="Never"/>
    <s v="Greenbrier"/>
    <s v="Lewisburg"/>
    <x v="0"/>
  </r>
  <r>
    <s v="Tudor's Biscuit World"/>
    <s v="725 Jefferson St N, Lewisburg, WV 24901"/>
    <x v="1"/>
    <x v="10"/>
    <s v="5:30 AM–7 PM"/>
    <s v="Never"/>
    <s v="Greenbrier"/>
    <s v="Lewisburg"/>
    <x v="3"/>
  </r>
  <r>
    <s v="Godfather's Pizza"/>
    <s v="14967 US-219, Lewisburg, WV 24901"/>
    <x v="1"/>
    <x v="3"/>
    <s v="11 AM–10 PM"/>
    <s v="Sunday"/>
    <s v="Greenbrier"/>
    <s v="Lewisburg"/>
    <x v="0"/>
  </r>
  <r>
    <s v="Cook's | Country Kitchen"/>
    <s v="38154 Midland Trail E, White Sulphur Springs, WV 24986"/>
    <x v="0"/>
    <x v="4"/>
    <s v="8 AM–8 PM"/>
    <s v="Monday"/>
    <s v="Greenbrier"/>
    <s v="White Sulphur Springs"/>
    <x v="0"/>
  </r>
  <r>
    <s v="Pho King"/>
    <s v="529 Main St W, White Sulphur Springs, WV 24986"/>
    <x v="0"/>
    <x v="9"/>
    <s v="11 AM–9 PM"/>
    <s v="Tuesday"/>
    <s v="Greenbrier"/>
    <s v="White Sulphur Springs"/>
    <x v="0"/>
  </r>
  <r>
    <s v="Pho King"/>
    <s v="529 Main St W, White Sulphur Springs, WV 24986"/>
    <x v="2"/>
    <x v="2"/>
    <s v="11 AM–9 PM"/>
    <s v="Thursday"/>
    <m/>
    <m/>
    <x v="2"/>
  </r>
  <r>
    <s v="The Lunch Box"/>
    <s v="114 Caldwell Dr, White Sulphur Springs, WV 24986"/>
    <x v="0"/>
    <x v="8"/>
    <s v="10:30 AM–3 PM"/>
    <s v="Sunday"/>
    <s v="Greenbrier"/>
    <s v="White Sulphur Springs"/>
    <x v="0"/>
  </r>
  <r>
    <s v="The Lunch Box"/>
    <s v="114 Caldwell Dr, White Sulphur Springs, WV 24986"/>
    <x v="2"/>
    <x v="2"/>
    <s v="10:30 AM–3 PM"/>
    <s v="Monday"/>
    <m/>
    <m/>
    <x v="2"/>
  </r>
  <r>
    <s v="Tootsie's Place"/>
    <s v="728 Main St E, White Sulphur Springs, WV 24986"/>
    <x v="1"/>
    <x v="7"/>
    <s v="7 AM–4 PM"/>
    <s v="Sunday"/>
    <s v="Greenbrier"/>
    <s v="White Sulphur Springs"/>
    <x v="0"/>
  </r>
  <r>
    <s v="Tootsie's Place"/>
    <s v="728 Main St E, White Sulphur Springs, WV 24986"/>
    <x v="2"/>
    <x v="2"/>
    <s v="7 AM–4 PM"/>
    <s v="Monday"/>
    <m/>
    <m/>
    <x v="2"/>
  </r>
  <r>
    <s v="Gustard's Bistro"/>
    <s v="759 Main St E, White Sulphur Springs, WV 24986"/>
    <x v="5"/>
    <x v="4"/>
    <s v="11 AM–8:30 PM"/>
    <s v="Monday"/>
    <s v="Greenbrier"/>
    <s v="White Sulphur Springs"/>
    <x v="1"/>
  </r>
  <r>
    <s v="Gustard's Bistro"/>
    <s v="759 Main St E, White Sulphur Springs, WV 24986"/>
    <x v="2"/>
    <x v="2"/>
    <s v="11 AM–8:30 PM"/>
    <s v="Tuesday"/>
    <m/>
    <m/>
    <x v="2"/>
  </r>
  <r>
    <s v="Max on Main"/>
    <s v="789 Main St E, White Sulphur Springs, WV 24986"/>
    <x v="5"/>
    <x v="1"/>
    <s v="11 AM–9 PM"/>
    <s v="Wednesday"/>
    <s v="Greenbrier"/>
    <s v="White Sulphur Springs"/>
    <x v="1"/>
  </r>
  <r>
    <s v="Godfather's Pizza"/>
    <s v="103 Main St E, White Sulphur Springs, WV 24986"/>
    <x v="0"/>
    <x v="3"/>
    <s v="11 AM–8 PM"/>
    <s v="Never"/>
    <s v="Greenbrier"/>
    <s v="White Sulphur Springs"/>
    <x v="1"/>
  </r>
  <r>
    <s v="April's Pizzeria"/>
    <s v="705 Main St E, White Sulphur Springs, WV 24986"/>
    <x v="0"/>
    <x v="3"/>
    <s v="11 AM–9 PM"/>
    <s v="Never"/>
    <s v="Greenbrier"/>
    <s v="White Sulphur Springs"/>
    <x v="0"/>
  </r>
  <r>
    <s v="Mill Creek Homestyle Bakery"/>
    <s v=" 200 Pocahontas Trl Suite 4, White Sulphur Springs, WV 24986"/>
    <x v="1"/>
    <x v="13"/>
    <s v="8 AM–5 PM"/>
    <s v="Saturday"/>
    <s v="Greenbrier"/>
    <s v="White Sulphur Springs"/>
    <x v="0"/>
  </r>
  <r>
    <s v="Mill Creek Homestyle Bakery"/>
    <s v=" 200 Pocahontas Trl Suite 4, White Sulphur Springs, WV 24986"/>
    <x v="2"/>
    <x v="2"/>
    <s v="8 AM–5 PM"/>
    <s v="Sunday"/>
    <m/>
    <m/>
    <x v="2"/>
  </r>
  <r>
    <s v="Mill Creek Homestyle Bakery"/>
    <s v=" 200 Pocahontas Trl Suite 4, White Sulphur Springs, WV 24986"/>
    <x v="2"/>
    <x v="2"/>
    <s v="8 AM–5 PM"/>
    <s v="Monday"/>
    <m/>
    <m/>
    <x v="2"/>
  </r>
  <r>
    <s v="Hardee’s"/>
    <s v="164 Pocahontas Trl, White Sulphur Springs, WV 24986"/>
    <x v="1"/>
    <x v="10"/>
    <s v="5:30 AM–9 PM"/>
    <s v="Never"/>
    <s v="Greenbrier"/>
    <s v="White Sulphur Springs"/>
    <x v="0"/>
  </r>
  <r>
    <s v="Subway"/>
    <s v="1 Seneca Trail, Marlinton, WV 24954"/>
    <x v="1"/>
    <x v="8"/>
    <s v="7 AM–10 PM"/>
    <s v="Never"/>
    <s v="Pocahontas"/>
    <s v="Marlinton"/>
    <x v="0"/>
  </r>
  <r>
    <s v="Greenbrier Grille and Lodge"/>
    <s v="814 1st Ave, Marlinton, WV 24954"/>
    <x v="0"/>
    <x v="0"/>
    <s v="8 AM–9 PM"/>
    <s v="Never"/>
    <s v="Pocahontas"/>
    <s v="Marlinton"/>
    <x v="0"/>
  </r>
  <r>
    <s v="Dirtbean"/>
    <s v="818 2nd Ave, Marlinton, WV 24954"/>
    <x v="0"/>
    <x v="7"/>
    <s v="7 AM–7:30 PM"/>
    <s v="Sunday"/>
    <s v="Pocahontas"/>
    <s v="Marlinton"/>
    <x v="3"/>
  </r>
  <r>
    <s v="Alfredo's Italian &amp; Greek"/>
    <s v="221 8th St, Marlinton, WV 24954"/>
    <x v="0"/>
    <x v="11"/>
    <s v="10:30 AM–9 PM"/>
    <s v="Never"/>
    <s v="Pocahontas"/>
    <s v="Marlinton"/>
    <x v="1"/>
  </r>
  <r>
    <s v="Old Mountain Tavern"/>
    <s v="221 8th St, Marlinton, WV 24954"/>
    <x v="0"/>
    <x v="1"/>
    <s v="4PM–10 PM"/>
    <s v="Never"/>
    <s v="Pocahontas"/>
    <s v="Marlinton"/>
    <x v="1"/>
  </r>
  <r>
    <s v="Rivertown Cafe"/>
    <s v="309 8th St, Marlinton, WV 24954"/>
    <x v="0"/>
    <x v="7"/>
    <s v="8:30 AM–6 PM"/>
    <s v="Monday"/>
    <s v="Pocahontas"/>
    <s v="Marlinton"/>
    <x v="0"/>
  </r>
  <r>
    <s v="Dari Land"/>
    <s v="827 3rd Ave, Marlinton, WV 24954"/>
    <x v="0"/>
    <x v="4"/>
    <s v="7 AM–7 PM"/>
    <s v="Never"/>
    <s v="Pocahontas"/>
    <s v="Marlinton"/>
    <x v="0"/>
  </r>
  <r>
    <s v="Trailhead Pizza Co."/>
    <s v="916 3rd Ave, Marlinton, WV 24954"/>
    <x v="0"/>
    <x v="3"/>
    <s v="11 AM–7 PM"/>
    <s v="Sunday"/>
    <s v="Pocahontas"/>
    <s v="Marlinton"/>
    <x v="0"/>
  </r>
  <r>
    <s v="Trailhead Pizza Co."/>
    <s v="916 3rd Ave, Marlinton, WV 24954"/>
    <x v="2"/>
    <x v="2"/>
    <s v="11 AM–7 PM"/>
    <s v="Monday"/>
    <m/>
    <m/>
    <x v="2"/>
  </r>
  <r>
    <s v="Dairy Queen Grill &amp; Chill"/>
    <s v="19158 Seneca Trail, Marlinton, WV 24954"/>
    <x v="1"/>
    <x v="10"/>
    <s v="9 AM–9 PM"/>
    <s v="Never"/>
    <s v="Pocahontas"/>
    <s v="Marlinton"/>
    <x v="0"/>
  </r>
  <r>
    <s v="Hillsboro Public House"/>
    <s v="7484 Seneca Trail, Hillsboro, WV 24946"/>
    <x v="0"/>
    <x v="1"/>
    <s v="9 AM–9 PM"/>
    <s v="Monday"/>
    <s v="Pocahontas"/>
    <s v="Marlinton"/>
    <x v="1"/>
  </r>
  <r>
    <s v="Wendy's"/>
    <s v="1 Red Oaks Shopping Center, Ronceverte, WV 24970"/>
    <x v="1"/>
    <x v="10"/>
    <s v="6:30 AM–12 AM"/>
    <s v="Never"/>
    <s v="Greenbrier"/>
    <s v="Roncevert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57CCB-00F4-4182-9954-3F9C99B8E38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6" firstHeaderRow="1" firstDataRow="1" firstDataCol="1"/>
  <pivotFields count="9">
    <pivotField showAll="0"/>
    <pivotField showAll="0"/>
    <pivotField showAll="0"/>
    <pivotField axis="axisRow" dataField="1" showAll="0">
      <items count="15">
        <item x="4"/>
        <item x="9"/>
        <item x="13"/>
        <item x="5"/>
        <item x="7"/>
        <item x="0"/>
        <item x="10"/>
        <item x="12"/>
        <item x="11"/>
        <item x="6"/>
        <item x="3"/>
        <item x="1"/>
        <item x="8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Typ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6D4A73-AA86-48AE-BC62-680C0851BDB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1"/>
        <item x="0"/>
        <item x="2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Busiest Time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F3592-D359-4AD1-9B7B-39FC2FF6941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8" firstHeaderRow="1" firstDataRow="1" firstDataCol="1"/>
  <pivotFields count="9">
    <pivotField showAll="0"/>
    <pivotField showAll="0"/>
    <pivotField axis="axisRow" dataField="1" showAll="0">
      <items count="7">
        <item x="0"/>
        <item x="4"/>
        <item x="1"/>
        <item x="5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Median Price per Pers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39DDB-5ACA-4279-A536-C1E858B2ADD2}">
  <dimension ref="A1:J17"/>
  <sheetViews>
    <sheetView workbookViewId="0">
      <selection activeCell="H17" sqref="H17"/>
    </sheetView>
  </sheetViews>
  <sheetFormatPr defaultRowHeight="14.4" x14ac:dyDescent="0.3"/>
  <cols>
    <col min="1" max="1" width="48.88671875" customWidth="1"/>
    <col min="2" max="2" width="17.109375" customWidth="1"/>
    <col min="3" max="3" width="18.5546875" customWidth="1"/>
    <col min="8" max="8" width="15" customWidth="1"/>
    <col min="9" max="9" width="13.77734375" customWidth="1"/>
    <col min="10" max="10" width="38.5546875" customWidth="1"/>
  </cols>
  <sheetData>
    <row r="1" spans="1:10" x14ac:dyDescent="0.3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306</v>
      </c>
      <c r="I1" t="s">
        <v>50</v>
      </c>
      <c r="J1" t="s">
        <v>51</v>
      </c>
    </row>
    <row r="2" spans="1:10" x14ac:dyDescent="0.3">
      <c r="A2" t="s">
        <v>6</v>
      </c>
      <c r="B2" t="s">
        <v>29</v>
      </c>
      <c r="C2" t="s">
        <v>28</v>
      </c>
      <c r="D2" t="s">
        <v>18</v>
      </c>
      <c r="E2">
        <v>24901</v>
      </c>
      <c r="F2" s="1">
        <v>46247</v>
      </c>
      <c r="G2" s="1">
        <v>46256</v>
      </c>
      <c r="H2" s="4">
        <f>G2-F2 + 1</f>
        <v>10</v>
      </c>
      <c r="I2" t="s">
        <v>33</v>
      </c>
      <c r="J2" t="s">
        <v>52</v>
      </c>
    </row>
    <row r="3" spans="1:10" x14ac:dyDescent="0.3">
      <c r="A3" t="s">
        <v>0</v>
      </c>
      <c r="B3" t="s">
        <v>16</v>
      </c>
      <c r="C3" t="s">
        <v>17</v>
      </c>
      <c r="D3" t="s">
        <v>18</v>
      </c>
      <c r="E3">
        <v>24986</v>
      </c>
      <c r="F3" s="1">
        <v>46164</v>
      </c>
      <c r="G3" s="1">
        <v>46166</v>
      </c>
      <c r="H3" s="4">
        <f t="shared" ref="H3:H16" si="0">G3-F3 + 1</f>
        <v>3</v>
      </c>
      <c r="I3" t="s">
        <v>23</v>
      </c>
      <c r="J3" t="s">
        <v>15</v>
      </c>
    </row>
    <row r="4" spans="1:10" x14ac:dyDescent="0.3">
      <c r="A4" t="s">
        <v>1</v>
      </c>
      <c r="C4" t="s">
        <v>19</v>
      </c>
      <c r="D4" t="s">
        <v>18</v>
      </c>
      <c r="E4">
        <v>24910</v>
      </c>
      <c r="F4" s="1">
        <v>46165</v>
      </c>
      <c r="G4" s="1">
        <v>46165</v>
      </c>
      <c r="H4" s="4">
        <f t="shared" si="0"/>
        <v>1</v>
      </c>
      <c r="I4" t="s">
        <v>23</v>
      </c>
      <c r="J4" t="s">
        <v>59</v>
      </c>
    </row>
    <row r="5" spans="1:10" x14ac:dyDescent="0.3">
      <c r="A5" t="s">
        <v>2</v>
      </c>
      <c r="C5" t="s">
        <v>21</v>
      </c>
      <c r="D5" t="s">
        <v>18</v>
      </c>
      <c r="E5">
        <v>24983</v>
      </c>
      <c r="F5" s="1">
        <v>46178</v>
      </c>
      <c r="G5" s="1">
        <v>46179</v>
      </c>
      <c r="H5" s="4">
        <f t="shared" si="0"/>
        <v>2</v>
      </c>
      <c r="I5" t="s">
        <v>24</v>
      </c>
      <c r="J5" t="s">
        <v>60</v>
      </c>
    </row>
    <row r="6" spans="1:10" x14ac:dyDescent="0.3">
      <c r="A6" t="s">
        <v>3</v>
      </c>
      <c r="B6" t="s">
        <v>25</v>
      </c>
      <c r="C6" t="s">
        <v>20</v>
      </c>
      <c r="D6" t="s">
        <v>18</v>
      </c>
      <c r="E6">
        <v>24970</v>
      </c>
      <c r="F6" s="1">
        <v>46185</v>
      </c>
      <c r="G6" s="1">
        <v>46186</v>
      </c>
      <c r="H6" s="4">
        <f t="shared" si="0"/>
        <v>2</v>
      </c>
      <c r="I6" t="s">
        <v>26</v>
      </c>
      <c r="J6" t="s">
        <v>53</v>
      </c>
    </row>
    <row r="7" spans="1:10" x14ac:dyDescent="0.3">
      <c r="A7" t="s">
        <v>4</v>
      </c>
      <c r="B7" t="s">
        <v>27</v>
      </c>
      <c r="C7" t="s">
        <v>28</v>
      </c>
      <c r="D7" t="s">
        <v>18</v>
      </c>
      <c r="E7">
        <v>24901</v>
      </c>
      <c r="F7" s="1">
        <v>46199</v>
      </c>
      <c r="G7" s="1">
        <v>46201</v>
      </c>
      <c r="H7" s="4">
        <f t="shared" si="0"/>
        <v>3</v>
      </c>
      <c r="I7" t="s">
        <v>30</v>
      </c>
      <c r="J7" t="s">
        <v>54</v>
      </c>
    </row>
    <row r="8" spans="1:10" x14ac:dyDescent="0.3">
      <c r="A8" t="s">
        <v>5</v>
      </c>
      <c r="C8" t="s">
        <v>19</v>
      </c>
      <c r="D8" t="s">
        <v>18</v>
      </c>
      <c r="E8">
        <v>24901</v>
      </c>
      <c r="F8" s="1">
        <v>46202</v>
      </c>
      <c r="G8" s="1">
        <v>46208</v>
      </c>
      <c r="H8" s="4">
        <f t="shared" si="0"/>
        <v>7</v>
      </c>
      <c r="I8" t="s">
        <v>31</v>
      </c>
      <c r="J8" t="s">
        <v>61</v>
      </c>
    </row>
    <row r="9" spans="1:10" x14ac:dyDescent="0.3">
      <c r="A9" t="s">
        <v>7</v>
      </c>
      <c r="B9" t="s">
        <v>34</v>
      </c>
      <c r="C9" t="s">
        <v>28</v>
      </c>
      <c r="D9" t="s">
        <v>18</v>
      </c>
      <c r="E9">
        <v>24901</v>
      </c>
      <c r="F9" s="1">
        <v>46305</v>
      </c>
      <c r="G9" s="1">
        <v>46305</v>
      </c>
      <c r="H9" s="4">
        <f t="shared" si="0"/>
        <v>1</v>
      </c>
      <c r="I9" t="s">
        <v>35</v>
      </c>
      <c r="J9" t="s">
        <v>55</v>
      </c>
    </row>
    <row r="10" spans="1:10" x14ac:dyDescent="0.3">
      <c r="A10" t="s">
        <v>8</v>
      </c>
      <c r="B10" t="s">
        <v>36</v>
      </c>
      <c r="C10" t="s">
        <v>21</v>
      </c>
      <c r="D10" t="s">
        <v>18</v>
      </c>
      <c r="E10">
        <v>24983</v>
      </c>
      <c r="F10" s="1">
        <v>46291</v>
      </c>
      <c r="G10" s="1">
        <v>46291</v>
      </c>
      <c r="H10" s="4">
        <f t="shared" si="0"/>
        <v>1</v>
      </c>
      <c r="I10" t="s">
        <v>37</v>
      </c>
      <c r="J10" t="s">
        <v>56</v>
      </c>
    </row>
    <row r="11" spans="1:10" x14ac:dyDescent="0.3">
      <c r="A11" t="s">
        <v>9</v>
      </c>
      <c r="B11" t="s">
        <v>29</v>
      </c>
      <c r="C11" t="s">
        <v>28</v>
      </c>
      <c r="D11" t="s">
        <v>18</v>
      </c>
      <c r="E11">
        <v>24901</v>
      </c>
      <c r="F11" s="1">
        <v>46191</v>
      </c>
      <c r="G11" s="1">
        <v>46193</v>
      </c>
      <c r="H11" s="4">
        <f t="shared" si="0"/>
        <v>3</v>
      </c>
      <c r="I11" t="s">
        <v>26</v>
      </c>
      <c r="J11" t="s">
        <v>52</v>
      </c>
    </row>
    <row r="12" spans="1:10" x14ac:dyDescent="0.3">
      <c r="A12" t="s">
        <v>10</v>
      </c>
      <c r="B12" t="s">
        <v>32</v>
      </c>
      <c r="C12" t="s">
        <v>19</v>
      </c>
      <c r="D12" t="s">
        <v>18</v>
      </c>
      <c r="E12">
        <v>24901</v>
      </c>
      <c r="F12" s="1">
        <v>46241</v>
      </c>
      <c r="G12" s="1">
        <v>46241</v>
      </c>
      <c r="H12" s="4">
        <f t="shared" si="0"/>
        <v>1</v>
      </c>
      <c r="I12" t="s">
        <v>38</v>
      </c>
      <c r="J12" t="s">
        <v>57</v>
      </c>
    </row>
    <row r="13" spans="1:10" x14ac:dyDescent="0.3">
      <c r="A13" t="s">
        <v>11</v>
      </c>
      <c r="B13" t="s">
        <v>39</v>
      </c>
      <c r="C13" t="s">
        <v>40</v>
      </c>
      <c r="D13" t="s">
        <v>18</v>
      </c>
      <c r="E13">
        <v>24954</v>
      </c>
      <c r="F13" s="1">
        <v>46291</v>
      </c>
      <c r="G13" s="1">
        <v>46291</v>
      </c>
      <c r="H13" s="4">
        <f t="shared" si="0"/>
        <v>1</v>
      </c>
      <c r="I13" t="s">
        <v>37</v>
      </c>
      <c r="J13" t="s">
        <v>58</v>
      </c>
    </row>
    <row r="14" spans="1:10" x14ac:dyDescent="0.3">
      <c r="A14" t="s">
        <v>12</v>
      </c>
      <c r="C14" t="s">
        <v>40</v>
      </c>
      <c r="D14" t="s">
        <v>18</v>
      </c>
      <c r="E14">
        <v>24954</v>
      </c>
      <c r="F14" s="1">
        <v>46213</v>
      </c>
      <c r="G14" s="1">
        <v>46215</v>
      </c>
      <c r="H14" s="4">
        <f t="shared" si="0"/>
        <v>3</v>
      </c>
      <c r="I14" t="s">
        <v>41</v>
      </c>
      <c r="J14" t="s">
        <v>62</v>
      </c>
    </row>
    <row r="15" spans="1:10" x14ac:dyDescent="0.3">
      <c r="A15" t="s">
        <v>13</v>
      </c>
      <c r="C15" t="s">
        <v>22</v>
      </c>
      <c r="D15" t="s">
        <v>18</v>
      </c>
      <c r="E15">
        <v>24963</v>
      </c>
      <c r="F15" s="1">
        <v>46299</v>
      </c>
      <c r="G15" s="1">
        <v>46299</v>
      </c>
      <c r="H15" s="4">
        <f t="shared" si="0"/>
        <v>1</v>
      </c>
      <c r="I15" t="s">
        <v>35</v>
      </c>
      <c r="J15" t="s">
        <v>63</v>
      </c>
    </row>
    <row r="16" spans="1:10" x14ac:dyDescent="0.3">
      <c r="A16" t="s">
        <v>14</v>
      </c>
      <c r="C16" t="s">
        <v>20</v>
      </c>
      <c r="D16" t="s">
        <v>18</v>
      </c>
      <c r="E16">
        <v>24970</v>
      </c>
      <c r="F16" s="1">
        <v>46151</v>
      </c>
      <c r="G16" s="1">
        <v>46152</v>
      </c>
      <c r="H16" s="4">
        <f t="shared" si="0"/>
        <v>2</v>
      </c>
      <c r="I16" t="s">
        <v>42</v>
      </c>
      <c r="J16" t="s">
        <v>64</v>
      </c>
    </row>
    <row r="17" spans="8:8" x14ac:dyDescent="0.3">
      <c r="H17" s="4">
        <f>SUM(H2:H16)</f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449A5-612A-4585-AC47-918020DB9067}">
  <dimension ref="A1:B12"/>
  <sheetViews>
    <sheetView workbookViewId="0">
      <selection activeCell="B12" sqref="B12"/>
    </sheetView>
  </sheetViews>
  <sheetFormatPr defaultRowHeight="14.4" x14ac:dyDescent="0.3"/>
  <cols>
    <col min="2" max="2" width="37.33203125" customWidth="1"/>
    <col min="3" max="3" width="11.77734375" customWidth="1"/>
  </cols>
  <sheetData>
    <row r="1" spans="1:2" x14ac:dyDescent="0.3">
      <c r="A1" t="s">
        <v>65</v>
      </c>
      <c r="B1" t="s">
        <v>50</v>
      </c>
    </row>
    <row r="2" spans="1:2" x14ac:dyDescent="0.3">
      <c r="A2">
        <v>1</v>
      </c>
      <c r="B2" t="s">
        <v>42</v>
      </c>
    </row>
    <row r="3" spans="1:2" x14ac:dyDescent="0.3">
      <c r="A3">
        <v>2</v>
      </c>
      <c r="B3" t="s">
        <v>23</v>
      </c>
    </row>
    <row r="4" spans="1:2" x14ac:dyDescent="0.3">
      <c r="A4">
        <v>3</v>
      </c>
      <c r="B4" t="s">
        <v>24</v>
      </c>
    </row>
    <row r="5" spans="1:2" x14ac:dyDescent="0.3">
      <c r="A5">
        <v>4</v>
      </c>
      <c r="B5" t="s">
        <v>26</v>
      </c>
    </row>
    <row r="6" spans="1:2" x14ac:dyDescent="0.3">
      <c r="A6">
        <v>5</v>
      </c>
      <c r="B6" t="s">
        <v>30</v>
      </c>
    </row>
    <row r="7" spans="1:2" x14ac:dyDescent="0.3">
      <c r="A7">
        <v>6</v>
      </c>
      <c r="B7" t="s">
        <v>31</v>
      </c>
    </row>
    <row r="8" spans="1:2" x14ac:dyDescent="0.3">
      <c r="A8">
        <v>7</v>
      </c>
      <c r="B8" t="s">
        <v>41</v>
      </c>
    </row>
    <row r="9" spans="1:2" x14ac:dyDescent="0.3">
      <c r="A9">
        <v>8</v>
      </c>
      <c r="B9" t="s">
        <v>38</v>
      </c>
    </row>
    <row r="10" spans="1:2" x14ac:dyDescent="0.3">
      <c r="A10">
        <v>9</v>
      </c>
      <c r="B10" t="s">
        <v>33</v>
      </c>
    </row>
    <row r="11" spans="1:2" x14ac:dyDescent="0.3">
      <c r="A11">
        <v>10</v>
      </c>
      <c r="B11" t="s">
        <v>37</v>
      </c>
    </row>
    <row r="12" spans="1:2" x14ac:dyDescent="0.3">
      <c r="A12">
        <v>11</v>
      </c>
      <c r="B12" t="s">
        <v>35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B89F6-5661-4E93-9CED-006F5A11794C}">
  <dimension ref="A1:K99"/>
  <sheetViews>
    <sheetView tabSelected="1" workbookViewId="0">
      <selection activeCell="K1" sqref="K1:K1048576"/>
    </sheetView>
  </sheetViews>
  <sheetFormatPr defaultRowHeight="14.4" x14ac:dyDescent="0.3"/>
  <cols>
    <col min="1" max="1" width="24.44140625" customWidth="1"/>
    <col min="2" max="2" width="50" customWidth="1"/>
    <col min="3" max="3" width="20.5546875" customWidth="1"/>
    <col min="4" max="4" width="11" customWidth="1"/>
    <col min="5" max="5" width="13.5546875" customWidth="1"/>
    <col min="7" max="7" width="11" customWidth="1"/>
    <col min="9" max="9" width="17.88671875" customWidth="1"/>
    <col min="10" max="11" width="16.77734375" customWidth="1"/>
  </cols>
  <sheetData>
    <row r="1" spans="1:11" x14ac:dyDescent="0.3">
      <c r="A1" t="s">
        <v>289</v>
      </c>
      <c r="B1" t="s">
        <v>44</v>
      </c>
      <c r="C1" t="s">
        <v>290</v>
      </c>
      <c r="D1" t="s">
        <v>291</v>
      </c>
      <c r="E1" t="s">
        <v>292</v>
      </c>
      <c r="F1" t="s">
        <v>293</v>
      </c>
      <c r="G1" t="s">
        <v>307</v>
      </c>
      <c r="H1" t="s">
        <v>294</v>
      </c>
      <c r="I1" t="s">
        <v>45</v>
      </c>
      <c r="J1" t="s">
        <v>295</v>
      </c>
      <c r="K1" t="s">
        <v>295</v>
      </c>
    </row>
    <row r="2" spans="1:11" x14ac:dyDescent="0.3">
      <c r="A2" t="s">
        <v>66</v>
      </c>
      <c r="B2" t="s">
        <v>67</v>
      </c>
      <c r="C2" t="s">
        <v>68</v>
      </c>
      <c r="D2" t="s">
        <v>272</v>
      </c>
      <c r="E2" t="s">
        <v>84</v>
      </c>
      <c r="F2" t="s">
        <v>85</v>
      </c>
      <c r="G2">
        <v>1</v>
      </c>
      <c r="H2" t="s">
        <v>102</v>
      </c>
      <c r="I2" t="s">
        <v>21</v>
      </c>
      <c r="J2" t="s">
        <v>111</v>
      </c>
      <c r="K2">
        <v>2</v>
      </c>
    </row>
    <row r="3" spans="1:11" x14ac:dyDescent="0.3">
      <c r="A3" t="s">
        <v>70</v>
      </c>
      <c r="B3" t="s">
        <v>71</v>
      </c>
      <c r="C3" t="s">
        <v>72</v>
      </c>
      <c r="D3" t="s">
        <v>272</v>
      </c>
      <c r="E3" t="s">
        <v>86</v>
      </c>
      <c r="F3" t="s">
        <v>299</v>
      </c>
      <c r="G3">
        <v>0</v>
      </c>
      <c r="H3" t="s">
        <v>102</v>
      </c>
      <c r="I3" t="s">
        <v>21</v>
      </c>
      <c r="J3" t="s">
        <v>111</v>
      </c>
      <c r="K3">
        <v>2</v>
      </c>
    </row>
    <row r="4" spans="1:11" x14ac:dyDescent="0.3">
      <c r="A4" t="s">
        <v>73</v>
      </c>
      <c r="B4" t="s">
        <v>74</v>
      </c>
      <c r="C4" t="s">
        <v>68</v>
      </c>
      <c r="D4" t="s">
        <v>229</v>
      </c>
      <c r="E4" t="s">
        <v>88</v>
      </c>
      <c r="F4" t="s">
        <v>89</v>
      </c>
      <c r="G4">
        <v>2</v>
      </c>
      <c r="H4" t="s">
        <v>102</v>
      </c>
      <c r="I4" t="s">
        <v>21</v>
      </c>
      <c r="J4" t="s">
        <v>110</v>
      </c>
      <c r="K4">
        <v>3</v>
      </c>
    </row>
    <row r="5" spans="1:11" x14ac:dyDescent="0.3">
      <c r="A5" t="s">
        <v>73</v>
      </c>
      <c r="B5" t="s">
        <v>74</v>
      </c>
      <c r="E5" t="s">
        <v>88</v>
      </c>
      <c r="F5" t="s">
        <v>90</v>
      </c>
      <c r="G5">
        <v>3</v>
      </c>
    </row>
    <row r="6" spans="1:11" x14ac:dyDescent="0.3">
      <c r="A6" t="s">
        <v>75</v>
      </c>
      <c r="B6" t="s">
        <v>76</v>
      </c>
      <c r="C6" t="s">
        <v>68</v>
      </c>
      <c r="D6" t="s">
        <v>77</v>
      </c>
      <c r="E6" t="s">
        <v>91</v>
      </c>
      <c r="F6" t="s">
        <v>299</v>
      </c>
      <c r="G6">
        <v>0</v>
      </c>
      <c r="H6" t="s">
        <v>102</v>
      </c>
      <c r="I6" t="s">
        <v>21</v>
      </c>
      <c r="J6" t="s">
        <v>110</v>
      </c>
      <c r="K6">
        <v>3</v>
      </c>
    </row>
    <row r="7" spans="1:11" x14ac:dyDescent="0.3">
      <c r="A7" t="s">
        <v>79</v>
      </c>
      <c r="B7" t="s">
        <v>78</v>
      </c>
      <c r="C7" t="s">
        <v>68</v>
      </c>
      <c r="D7" t="s">
        <v>69</v>
      </c>
      <c r="E7" t="s">
        <v>92</v>
      </c>
      <c r="F7" t="s">
        <v>299</v>
      </c>
      <c r="G7">
        <v>0</v>
      </c>
      <c r="H7" t="s">
        <v>116</v>
      </c>
      <c r="I7" t="s">
        <v>19</v>
      </c>
      <c r="J7" t="s">
        <v>110</v>
      </c>
      <c r="K7">
        <v>3</v>
      </c>
    </row>
    <row r="8" spans="1:11" x14ac:dyDescent="0.3">
      <c r="A8" t="s">
        <v>80</v>
      </c>
      <c r="B8" t="s">
        <v>81</v>
      </c>
      <c r="C8" t="s">
        <v>68</v>
      </c>
      <c r="D8" t="s">
        <v>272</v>
      </c>
      <c r="E8" t="s">
        <v>82</v>
      </c>
      <c r="F8" t="s">
        <v>83</v>
      </c>
      <c r="G8">
        <v>4</v>
      </c>
      <c r="H8" t="s">
        <v>102</v>
      </c>
    </row>
    <row r="9" spans="1:11" x14ac:dyDescent="0.3">
      <c r="A9" t="s">
        <v>93</v>
      </c>
      <c r="B9" t="s">
        <v>94</v>
      </c>
      <c r="C9" t="s">
        <v>68</v>
      </c>
      <c r="D9" t="s">
        <v>69</v>
      </c>
      <c r="E9" t="s">
        <v>91</v>
      </c>
      <c r="F9" t="s">
        <v>89</v>
      </c>
      <c r="G9">
        <v>2</v>
      </c>
      <c r="H9" t="s">
        <v>102</v>
      </c>
      <c r="J9" t="s">
        <v>110</v>
      </c>
      <c r="K9">
        <v>3</v>
      </c>
    </row>
    <row r="10" spans="1:11" x14ac:dyDescent="0.3">
      <c r="A10" t="s">
        <v>95</v>
      </c>
      <c r="B10" t="s">
        <v>96</v>
      </c>
      <c r="C10" t="s">
        <v>68</v>
      </c>
      <c r="D10" t="s">
        <v>97</v>
      </c>
      <c r="E10" t="s">
        <v>98</v>
      </c>
      <c r="F10" t="s">
        <v>85</v>
      </c>
      <c r="G10">
        <v>1</v>
      </c>
      <c r="H10" t="s">
        <v>102</v>
      </c>
      <c r="J10" t="s">
        <v>111</v>
      </c>
      <c r="K10">
        <v>2</v>
      </c>
    </row>
    <row r="11" spans="1:11" x14ac:dyDescent="0.3">
      <c r="A11" t="s">
        <v>95</v>
      </c>
      <c r="B11" t="s">
        <v>96</v>
      </c>
      <c r="E11" t="s">
        <v>98</v>
      </c>
      <c r="F11" t="s">
        <v>89</v>
      </c>
      <c r="G11">
        <v>2</v>
      </c>
    </row>
    <row r="12" spans="1:11" x14ac:dyDescent="0.3">
      <c r="A12" t="s">
        <v>99</v>
      </c>
      <c r="B12" t="s">
        <v>100</v>
      </c>
      <c r="C12" t="s">
        <v>68</v>
      </c>
      <c r="D12" t="s">
        <v>272</v>
      </c>
      <c r="E12" t="s">
        <v>101</v>
      </c>
      <c r="F12" t="s">
        <v>85</v>
      </c>
      <c r="G12">
        <v>1</v>
      </c>
      <c r="H12" t="s">
        <v>102</v>
      </c>
      <c r="I12" t="s">
        <v>22</v>
      </c>
      <c r="J12" t="s">
        <v>111</v>
      </c>
      <c r="K12">
        <v>2</v>
      </c>
    </row>
    <row r="13" spans="1:11" x14ac:dyDescent="0.3">
      <c r="A13" t="s">
        <v>103</v>
      </c>
      <c r="B13" t="s">
        <v>104</v>
      </c>
      <c r="C13" t="s">
        <v>68</v>
      </c>
      <c r="D13" t="s">
        <v>272</v>
      </c>
      <c r="E13" t="s">
        <v>105</v>
      </c>
      <c r="F13" t="s">
        <v>299</v>
      </c>
      <c r="G13">
        <v>0</v>
      </c>
      <c r="H13" t="s">
        <v>102</v>
      </c>
      <c r="I13" t="s">
        <v>22</v>
      </c>
      <c r="J13" t="s">
        <v>111</v>
      </c>
      <c r="K13">
        <v>2</v>
      </c>
    </row>
    <row r="14" spans="1:11" x14ac:dyDescent="0.3">
      <c r="A14" t="s">
        <v>106</v>
      </c>
      <c r="B14" t="s">
        <v>107</v>
      </c>
      <c r="C14" t="s">
        <v>68</v>
      </c>
      <c r="D14" t="s">
        <v>108</v>
      </c>
      <c r="E14" t="s">
        <v>109</v>
      </c>
      <c r="F14" t="s">
        <v>89</v>
      </c>
      <c r="G14">
        <v>2</v>
      </c>
      <c r="H14" t="s">
        <v>102</v>
      </c>
      <c r="I14" t="s">
        <v>22</v>
      </c>
      <c r="J14" t="s">
        <v>110</v>
      </c>
      <c r="K14">
        <v>3</v>
      </c>
    </row>
    <row r="15" spans="1:11" x14ac:dyDescent="0.3">
      <c r="A15" t="s">
        <v>112</v>
      </c>
      <c r="B15" t="s">
        <v>113</v>
      </c>
      <c r="C15" t="s">
        <v>68</v>
      </c>
      <c r="D15" t="s">
        <v>115</v>
      </c>
      <c r="E15" t="s">
        <v>114</v>
      </c>
      <c r="F15" t="s">
        <v>85</v>
      </c>
      <c r="G15">
        <v>1</v>
      </c>
      <c r="H15" t="s">
        <v>116</v>
      </c>
      <c r="I15" t="s">
        <v>19</v>
      </c>
      <c r="J15" t="s">
        <v>111</v>
      </c>
      <c r="K15">
        <v>2</v>
      </c>
    </row>
    <row r="16" spans="1:11" x14ac:dyDescent="0.3">
      <c r="A16" t="s">
        <v>112</v>
      </c>
      <c r="B16" t="s">
        <v>113</v>
      </c>
      <c r="E16" t="s">
        <v>114</v>
      </c>
      <c r="F16" t="s">
        <v>89</v>
      </c>
      <c r="G16">
        <v>2</v>
      </c>
    </row>
    <row r="17" spans="1:11" x14ac:dyDescent="0.3">
      <c r="A17" t="s">
        <v>117</v>
      </c>
      <c r="B17" t="s">
        <v>118</v>
      </c>
      <c r="C17" t="s">
        <v>72</v>
      </c>
      <c r="D17" t="s">
        <v>77</v>
      </c>
      <c r="E17" t="s">
        <v>91</v>
      </c>
      <c r="F17" t="s">
        <v>299</v>
      </c>
      <c r="G17">
        <v>0</v>
      </c>
      <c r="H17" t="s">
        <v>116</v>
      </c>
      <c r="I17" t="s">
        <v>19</v>
      </c>
      <c r="J17" t="s">
        <v>110</v>
      </c>
      <c r="K17">
        <v>3</v>
      </c>
    </row>
    <row r="18" spans="1:11" x14ac:dyDescent="0.3">
      <c r="A18" t="s">
        <v>119</v>
      </c>
      <c r="B18" t="s">
        <v>120</v>
      </c>
      <c r="C18" t="s">
        <v>72</v>
      </c>
      <c r="D18" t="s">
        <v>122</v>
      </c>
      <c r="E18" t="s">
        <v>121</v>
      </c>
      <c r="F18" t="s">
        <v>299</v>
      </c>
      <c r="G18">
        <v>0</v>
      </c>
      <c r="H18" t="s">
        <v>116</v>
      </c>
      <c r="I18" t="s">
        <v>19</v>
      </c>
      <c r="J18" t="s">
        <v>110</v>
      </c>
      <c r="K18">
        <v>3</v>
      </c>
    </row>
    <row r="19" spans="1:11" x14ac:dyDescent="0.3">
      <c r="A19" t="s">
        <v>123</v>
      </c>
      <c r="B19" t="s">
        <v>124</v>
      </c>
      <c r="C19" t="s">
        <v>68</v>
      </c>
      <c r="D19" t="s">
        <v>229</v>
      </c>
      <c r="E19" t="s">
        <v>125</v>
      </c>
      <c r="F19" t="s">
        <v>299</v>
      </c>
      <c r="G19">
        <v>0</v>
      </c>
      <c r="H19" t="s">
        <v>116</v>
      </c>
      <c r="I19" t="s">
        <v>20</v>
      </c>
      <c r="J19" t="s">
        <v>110</v>
      </c>
      <c r="K19">
        <v>3</v>
      </c>
    </row>
    <row r="20" spans="1:11" x14ac:dyDescent="0.3">
      <c r="A20" t="s">
        <v>126</v>
      </c>
      <c r="B20" t="s">
        <v>127</v>
      </c>
      <c r="C20" t="s">
        <v>68</v>
      </c>
      <c r="D20" t="s">
        <v>248</v>
      </c>
      <c r="E20" t="s">
        <v>91</v>
      </c>
      <c r="F20" t="s">
        <v>90</v>
      </c>
      <c r="G20">
        <v>3</v>
      </c>
      <c r="H20" t="s">
        <v>116</v>
      </c>
      <c r="I20" t="s">
        <v>20</v>
      </c>
      <c r="J20" t="s">
        <v>110</v>
      </c>
      <c r="K20">
        <v>3</v>
      </c>
    </row>
    <row r="21" spans="1:11" x14ac:dyDescent="0.3">
      <c r="A21" t="s">
        <v>128</v>
      </c>
      <c r="B21" t="s">
        <v>129</v>
      </c>
      <c r="C21" t="s">
        <v>68</v>
      </c>
      <c r="D21" t="s">
        <v>108</v>
      </c>
      <c r="E21" t="s">
        <v>130</v>
      </c>
      <c r="F21" t="s">
        <v>299</v>
      </c>
      <c r="G21">
        <v>0</v>
      </c>
      <c r="H21" t="s">
        <v>116</v>
      </c>
      <c r="I21" t="s">
        <v>20</v>
      </c>
      <c r="J21" t="s">
        <v>110</v>
      </c>
      <c r="K21">
        <v>3</v>
      </c>
    </row>
    <row r="22" spans="1:11" x14ac:dyDescent="0.3">
      <c r="A22" t="s">
        <v>131</v>
      </c>
      <c r="B22" t="s">
        <v>132</v>
      </c>
      <c r="C22" t="s">
        <v>72</v>
      </c>
      <c r="D22" t="s">
        <v>133</v>
      </c>
      <c r="E22" t="s">
        <v>134</v>
      </c>
      <c r="F22" t="s">
        <v>299</v>
      </c>
      <c r="G22">
        <v>0</v>
      </c>
      <c r="H22" t="s">
        <v>116</v>
      </c>
      <c r="I22" t="s">
        <v>28</v>
      </c>
      <c r="J22" t="s">
        <v>110</v>
      </c>
      <c r="K22">
        <v>3</v>
      </c>
    </row>
    <row r="23" spans="1:11" x14ac:dyDescent="0.3">
      <c r="A23" t="s">
        <v>135</v>
      </c>
      <c r="B23" t="s">
        <v>136</v>
      </c>
      <c r="C23" t="s">
        <v>72</v>
      </c>
      <c r="D23" t="s">
        <v>77</v>
      </c>
      <c r="E23" t="s">
        <v>137</v>
      </c>
      <c r="F23" t="s">
        <v>299</v>
      </c>
      <c r="G23">
        <v>0</v>
      </c>
      <c r="H23" t="s">
        <v>116</v>
      </c>
      <c r="I23" t="s">
        <v>28</v>
      </c>
      <c r="J23" t="s">
        <v>110</v>
      </c>
      <c r="K23">
        <v>3</v>
      </c>
    </row>
    <row r="24" spans="1:11" x14ac:dyDescent="0.3">
      <c r="A24" t="s">
        <v>138</v>
      </c>
      <c r="B24" t="s">
        <v>139</v>
      </c>
      <c r="C24" t="s">
        <v>68</v>
      </c>
      <c r="D24" t="s">
        <v>133</v>
      </c>
      <c r="E24" t="s">
        <v>140</v>
      </c>
      <c r="F24" t="s">
        <v>299</v>
      </c>
      <c r="G24">
        <v>0</v>
      </c>
      <c r="H24" t="s">
        <v>116</v>
      </c>
      <c r="I24" t="s">
        <v>20</v>
      </c>
      <c r="J24" t="s">
        <v>110</v>
      </c>
      <c r="K24">
        <v>3</v>
      </c>
    </row>
    <row r="25" spans="1:11" x14ac:dyDescent="0.3">
      <c r="A25" t="s">
        <v>119</v>
      </c>
      <c r="B25" t="s">
        <v>141</v>
      </c>
      <c r="C25" t="s">
        <v>72</v>
      </c>
      <c r="D25" t="s">
        <v>122</v>
      </c>
      <c r="E25" t="s">
        <v>142</v>
      </c>
      <c r="F25" t="s">
        <v>299</v>
      </c>
      <c r="G25">
        <v>0</v>
      </c>
      <c r="H25" t="s">
        <v>116</v>
      </c>
      <c r="I25" t="s">
        <v>20</v>
      </c>
      <c r="J25" t="s">
        <v>110</v>
      </c>
      <c r="K25">
        <v>3</v>
      </c>
    </row>
    <row r="26" spans="1:11" x14ac:dyDescent="0.3">
      <c r="A26" t="s">
        <v>143</v>
      </c>
      <c r="B26" t="s">
        <v>144</v>
      </c>
      <c r="C26" t="s">
        <v>72</v>
      </c>
      <c r="D26" t="s">
        <v>133</v>
      </c>
      <c r="E26" t="s">
        <v>145</v>
      </c>
      <c r="F26" t="s">
        <v>299</v>
      </c>
      <c r="G26">
        <v>0</v>
      </c>
      <c r="H26" t="s">
        <v>116</v>
      </c>
      <c r="I26" t="s">
        <v>20</v>
      </c>
      <c r="J26" t="s">
        <v>111</v>
      </c>
      <c r="K26">
        <v>2</v>
      </c>
    </row>
    <row r="27" spans="1:11" x14ac:dyDescent="0.3">
      <c r="A27" t="s">
        <v>146</v>
      </c>
      <c r="B27" t="s">
        <v>147</v>
      </c>
      <c r="C27" t="s">
        <v>68</v>
      </c>
      <c r="D27" t="s">
        <v>97</v>
      </c>
      <c r="E27" t="s">
        <v>148</v>
      </c>
      <c r="F27" t="s">
        <v>299</v>
      </c>
      <c r="G27">
        <v>0</v>
      </c>
      <c r="H27" t="s">
        <v>116</v>
      </c>
      <c r="I27" t="s">
        <v>28</v>
      </c>
      <c r="J27" t="s">
        <v>110</v>
      </c>
      <c r="K27">
        <v>3</v>
      </c>
    </row>
    <row r="28" spans="1:11" x14ac:dyDescent="0.3">
      <c r="A28" t="s">
        <v>149</v>
      </c>
      <c r="B28" t="s">
        <v>150</v>
      </c>
      <c r="C28" t="s">
        <v>72</v>
      </c>
      <c r="D28" t="s">
        <v>133</v>
      </c>
      <c r="E28" t="s">
        <v>145</v>
      </c>
      <c r="F28" t="s">
        <v>299</v>
      </c>
      <c r="G28">
        <v>0</v>
      </c>
      <c r="H28" t="s">
        <v>116</v>
      </c>
      <c r="I28" t="s">
        <v>28</v>
      </c>
      <c r="J28" t="s">
        <v>111</v>
      </c>
      <c r="K28">
        <v>2</v>
      </c>
    </row>
    <row r="29" spans="1:11" x14ac:dyDescent="0.3">
      <c r="A29" t="s">
        <v>151</v>
      </c>
      <c r="B29" t="s">
        <v>152</v>
      </c>
      <c r="C29" t="s">
        <v>68</v>
      </c>
      <c r="D29" t="s">
        <v>153</v>
      </c>
      <c r="E29" t="s">
        <v>154</v>
      </c>
      <c r="F29" t="s">
        <v>299</v>
      </c>
      <c r="G29">
        <v>0</v>
      </c>
      <c r="H29" t="s">
        <v>116</v>
      </c>
      <c r="I29" t="s">
        <v>28</v>
      </c>
      <c r="J29" t="s">
        <v>110</v>
      </c>
      <c r="K29">
        <v>3</v>
      </c>
    </row>
    <row r="30" spans="1:11" x14ac:dyDescent="0.3">
      <c r="A30" t="s">
        <v>155</v>
      </c>
      <c r="B30" t="s">
        <v>156</v>
      </c>
      <c r="C30" t="s">
        <v>68</v>
      </c>
      <c r="D30" t="s">
        <v>108</v>
      </c>
      <c r="E30" t="s">
        <v>109</v>
      </c>
      <c r="F30" t="s">
        <v>299</v>
      </c>
      <c r="G30">
        <v>0</v>
      </c>
      <c r="H30" t="s">
        <v>116</v>
      </c>
      <c r="I30" t="s">
        <v>28</v>
      </c>
      <c r="J30" t="s">
        <v>110</v>
      </c>
      <c r="K30">
        <v>3</v>
      </c>
    </row>
    <row r="31" spans="1:11" x14ac:dyDescent="0.3">
      <c r="A31" t="s">
        <v>157</v>
      </c>
      <c r="B31" t="s">
        <v>158</v>
      </c>
      <c r="C31" t="s">
        <v>159</v>
      </c>
      <c r="D31" t="s">
        <v>160</v>
      </c>
      <c r="E31" t="s">
        <v>161</v>
      </c>
      <c r="F31" t="s">
        <v>89</v>
      </c>
      <c r="G31">
        <v>2</v>
      </c>
      <c r="H31" t="s">
        <v>116</v>
      </c>
      <c r="I31" t="s">
        <v>28</v>
      </c>
      <c r="J31" t="s">
        <v>110</v>
      </c>
      <c r="K31">
        <v>3</v>
      </c>
    </row>
    <row r="32" spans="1:11" x14ac:dyDescent="0.3">
      <c r="A32" t="s">
        <v>157</v>
      </c>
      <c r="B32" t="s">
        <v>158</v>
      </c>
      <c r="E32" t="s">
        <v>161</v>
      </c>
      <c r="F32" t="s">
        <v>90</v>
      </c>
      <c r="G32">
        <v>3</v>
      </c>
    </row>
    <row r="33" spans="1:11" x14ac:dyDescent="0.3">
      <c r="A33" t="s">
        <v>157</v>
      </c>
      <c r="B33" t="s">
        <v>158</v>
      </c>
      <c r="E33" t="s">
        <v>161</v>
      </c>
      <c r="F33" t="s">
        <v>83</v>
      </c>
      <c r="G33">
        <v>4</v>
      </c>
    </row>
    <row r="34" spans="1:11" x14ac:dyDescent="0.3">
      <c r="A34" t="s">
        <v>163</v>
      </c>
      <c r="B34" t="s">
        <v>162</v>
      </c>
      <c r="C34" t="s">
        <v>68</v>
      </c>
      <c r="D34" t="s">
        <v>229</v>
      </c>
      <c r="E34" t="s">
        <v>164</v>
      </c>
      <c r="F34" t="s">
        <v>299</v>
      </c>
      <c r="G34">
        <v>0</v>
      </c>
      <c r="H34" t="s">
        <v>116</v>
      </c>
      <c r="I34" t="s">
        <v>28</v>
      </c>
      <c r="J34" t="s">
        <v>110</v>
      </c>
      <c r="K34">
        <v>3</v>
      </c>
    </row>
    <row r="35" spans="1:11" x14ac:dyDescent="0.3">
      <c r="A35" t="s">
        <v>165</v>
      </c>
      <c r="B35" t="s">
        <v>166</v>
      </c>
      <c r="C35" t="s">
        <v>68</v>
      </c>
      <c r="D35" t="s">
        <v>115</v>
      </c>
      <c r="E35" t="s">
        <v>167</v>
      </c>
      <c r="F35" t="s">
        <v>85</v>
      </c>
      <c r="G35">
        <v>1</v>
      </c>
      <c r="H35" t="s">
        <v>116</v>
      </c>
      <c r="I35" t="s">
        <v>28</v>
      </c>
      <c r="J35" t="s">
        <v>111</v>
      </c>
      <c r="K35">
        <v>2</v>
      </c>
    </row>
    <row r="36" spans="1:11" x14ac:dyDescent="0.3">
      <c r="A36" t="s">
        <v>168</v>
      </c>
      <c r="B36" t="s">
        <v>169</v>
      </c>
      <c r="C36" t="s">
        <v>159</v>
      </c>
      <c r="D36" t="s">
        <v>69</v>
      </c>
      <c r="E36" t="s">
        <v>161</v>
      </c>
      <c r="F36" t="s">
        <v>85</v>
      </c>
      <c r="G36">
        <v>1</v>
      </c>
      <c r="H36" t="s">
        <v>116</v>
      </c>
      <c r="I36" t="s">
        <v>28</v>
      </c>
      <c r="J36" t="s">
        <v>110</v>
      </c>
      <c r="K36">
        <v>3</v>
      </c>
    </row>
    <row r="37" spans="1:11" x14ac:dyDescent="0.3">
      <c r="A37" t="s">
        <v>168</v>
      </c>
      <c r="B37" t="s">
        <v>169</v>
      </c>
      <c r="E37" t="s">
        <v>161</v>
      </c>
      <c r="F37" t="s">
        <v>89</v>
      </c>
      <c r="G37">
        <v>2</v>
      </c>
    </row>
    <row r="38" spans="1:11" x14ac:dyDescent="0.3">
      <c r="A38" t="s">
        <v>170</v>
      </c>
      <c r="B38" t="s">
        <v>171</v>
      </c>
      <c r="C38" t="s">
        <v>68</v>
      </c>
      <c r="D38" t="s">
        <v>229</v>
      </c>
      <c r="E38" t="s">
        <v>173</v>
      </c>
      <c r="F38" t="s">
        <v>90</v>
      </c>
      <c r="G38">
        <v>3</v>
      </c>
      <c r="H38" t="s">
        <v>116</v>
      </c>
      <c r="I38" t="s">
        <v>28</v>
      </c>
      <c r="J38" t="s">
        <v>110</v>
      </c>
      <c r="K38">
        <v>3</v>
      </c>
    </row>
    <row r="39" spans="1:11" x14ac:dyDescent="0.3">
      <c r="A39" t="s">
        <v>174</v>
      </c>
      <c r="B39" t="s">
        <v>175</v>
      </c>
      <c r="C39" t="s">
        <v>68</v>
      </c>
      <c r="D39" t="s">
        <v>69</v>
      </c>
      <c r="E39" t="s">
        <v>91</v>
      </c>
      <c r="F39" t="s">
        <v>89</v>
      </c>
      <c r="G39">
        <v>2</v>
      </c>
      <c r="H39" t="s">
        <v>116</v>
      </c>
      <c r="I39" t="s">
        <v>28</v>
      </c>
      <c r="J39" t="s">
        <v>110</v>
      </c>
      <c r="K39">
        <v>3</v>
      </c>
    </row>
    <row r="40" spans="1:11" x14ac:dyDescent="0.3">
      <c r="A40" t="s">
        <v>176</v>
      </c>
      <c r="B40" t="s">
        <v>177</v>
      </c>
      <c r="C40" t="s">
        <v>68</v>
      </c>
      <c r="D40" t="s">
        <v>178</v>
      </c>
      <c r="E40" t="s">
        <v>179</v>
      </c>
      <c r="F40" t="s">
        <v>85</v>
      </c>
      <c r="G40">
        <v>1</v>
      </c>
      <c r="H40" t="s">
        <v>116</v>
      </c>
      <c r="I40" t="s">
        <v>28</v>
      </c>
      <c r="J40" t="s">
        <v>111</v>
      </c>
      <c r="K40">
        <v>2</v>
      </c>
    </row>
    <row r="41" spans="1:11" x14ac:dyDescent="0.3">
      <c r="A41" t="s">
        <v>176</v>
      </c>
      <c r="B41" t="s">
        <v>177</v>
      </c>
      <c r="E41" t="s">
        <v>179</v>
      </c>
      <c r="F41" t="s">
        <v>89</v>
      </c>
      <c r="G41">
        <v>2</v>
      </c>
    </row>
    <row r="42" spans="1:11" x14ac:dyDescent="0.3">
      <c r="A42" t="s">
        <v>180</v>
      </c>
      <c r="B42" t="s">
        <v>181</v>
      </c>
      <c r="C42" t="s">
        <v>72</v>
      </c>
      <c r="D42" t="s">
        <v>178</v>
      </c>
      <c r="E42" t="s">
        <v>182</v>
      </c>
      <c r="F42" t="s">
        <v>85</v>
      </c>
      <c r="G42">
        <v>1</v>
      </c>
      <c r="H42" t="s">
        <v>116</v>
      </c>
      <c r="I42" t="s">
        <v>28</v>
      </c>
      <c r="J42" t="s">
        <v>111</v>
      </c>
      <c r="K42">
        <v>2</v>
      </c>
    </row>
    <row r="43" spans="1:11" x14ac:dyDescent="0.3">
      <c r="A43" t="s">
        <v>183</v>
      </c>
      <c r="B43" t="s">
        <v>184</v>
      </c>
      <c r="C43" t="s">
        <v>68</v>
      </c>
      <c r="D43" t="s">
        <v>108</v>
      </c>
      <c r="E43" t="s">
        <v>91</v>
      </c>
      <c r="F43" t="s">
        <v>85</v>
      </c>
      <c r="G43">
        <v>1</v>
      </c>
      <c r="H43" t="s">
        <v>116</v>
      </c>
      <c r="I43" t="s">
        <v>28</v>
      </c>
      <c r="J43" t="s">
        <v>110</v>
      </c>
      <c r="K43">
        <v>3</v>
      </c>
    </row>
    <row r="44" spans="1:11" x14ac:dyDescent="0.3">
      <c r="A44" t="s">
        <v>185</v>
      </c>
      <c r="B44" t="s">
        <v>186</v>
      </c>
      <c r="C44" t="s">
        <v>68</v>
      </c>
      <c r="D44" t="s">
        <v>153</v>
      </c>
      <c r="E44" t="s">
        <v>91</v>
      </c>
      <c r="F44" t="s">
        <v>90</v>
      </c>
      <c r="G44">
        <v>3</v>
      </c>
      <c r="H44" t="s">
        <v>116</v>
      </c>
      <c r="I44" t="s">
        <v>28</v>
      </c>
      <c r="J44" t="s">
        <v>110</v>
      </c>
      <c r="K44">
        <v>3</v>
      </c>
    </row>
    <row r="45" spans="1:11" x14ac:dyDescent="0.3">
      <c r="A45" t="s">
        <v>185</v>
      </c>
      <c r="B45" t="s">
        <v>186</v>
      </c>
      <c r="E45" t="s">
        <v>91</v>
      </c>
      <c r="F45" t="s">
        <v>83</v>
      </c>
      <c r="G45">
        <v>4</v>
      </c>
    </row>
    <row r="46" spans="1:11" x14ac:dyDescent="0.3">
      <c r="A46" t="s">
        <v>187</v>
      </c>
      <c r="B46" t="s">
        <v>188</v>
      </c>
      <c r="C46" t="s">
        <v>68</v>
      </c>
      <c r="D46" t="s">
        <v>69</v>
      </c>
      <c r="E46" t="s">
        <v>189</v>
      </c>
      <c r="F46" t="s">
        <v>85</v>
      </c>
      <c r="G46">
        <v>1</v>
      </c>
      <c r="H46" t="s">
        <v>116</v>
      </c>
      <c r="I46" t="s">
        <v>28</v>
      </c>
      <c r="J46" t="s">
        <v>110</v>
      </c>
      <c r="K46">
        <v>3</v>
      </c>
    </row>
    <row r="47" spans="1:11" x14ac:dyDescent="0.3">
      <c r="A47" t="s">
        <v>187</v>
      </c>
      <c r="B47" t="s">
        <v>188</v>
      </c>
      <c r="E47" t="s">
        <v>189</v>
      </c>
      <c r="F47" t="s">
        <v>89</v>
      </c>
      <c r="G47">
        <v>2</v>
      </c>
    </row>
    <row r="48" spans="1:11" x14ac:dyDescent="0.3">
      <c r="A48" t="s">
        <v>190</v>
      </c>
      <c r="B48" t="s">
        <v>191</v>
      </c>
      <c r="C48" t="s">
        <v>68</v>
      </c>
      <c r="D48" t="s">
        <v>69</v>
      </c>
      <c r="E48" t="s">
        <v>192</v>
      </c>
      <c r="F48" t="s">
        <v>89</v>
      </c>
      <c r="G48">
        <v>2</v>
      </c>
      <c r="H48" t="s">
        <v>116</v>
      </c>
      <c r="I48" t="s">
        <v>28</v>
      </c>
      <c r="J48" t="s">
        <v>110</v>
      </c>
      <c r="K48">
        <v>3</v>
      </c>
    </row>
    <row r="49" spans="1:11" x14ac:dyDescent="0.3">
      <c r="A49" t="s">
        <v>193</v>
      </c>
      <c r="B49" t="s">
        <v>194</v>
      </c>
      <c r="C49" t="s">
        <v>72</v>
      </c>
      <c r="D49" t="s">
        <v>69</v>
      </c>
      <c r="E49" t="s">
        <v>195</v>
      </c>
      <c r="F49" t="s">
        <v>85</v>
      </c>
      <c r="G49">
        <v>1</v>
      </c>
      <c r="H49" t="s">
        <v>116</v>
      </c>
      <c r="I49" t="s">
        <v>28</v>
      </c>
      <c r="J49" t="s">
        <v>111</v>
      </c>
      <c r="K49">
        <v>2</v>
      </c>
    </row>
    <row r="50" spans="1:11" x14ac:dyDescent="0.3">
      <c r="A50" t="s">
        <v>193</v>
      </c>
      <c r="B50" t="s">
        <v>194</v>
      </c>
      <c r="E50" t="s">
        <v>195</v>
      </c>
      <c r="F50" t="s">
        <v>83</v>
      </c>
      <c r="G50">
        <v>4</v>
      </c>
    </row>
    <row r="51" spans="1:11" x14ac:dyDescent="0.3">
      <c r="A51" t="s">
        <v>193</v>
      </c>
      <c r="B51" t="s">
        <v>194</v>
      </c>
      <c r="E51" t="s">
        <v>195</v>
      </c>
      <c r="F51" t="s">
        <v>196</v>
      </c>
      <c r="G51">
        <v>5</v>
      </c>
    </row>
    <row r="52" spans="1:11" x14ac:dyDescent="0.3">
      <c r="A52" t="s">
        <v>197</v>
      </c>
      <c r="B52" t="s">
        <v>198</v>
      </c>
      <c r="C52" t="s">
        <v>68</v>
      </c>
      <c r="D52" t="s">
        <v>122</v>
      </c>
      <c r="E52" t="s">
        <v>199</v>
      </c>
      <c r="F52" t="s">
        <v>87</v>
      </c>
      <c r="G52">
        <v>7</v>
      </c>
      <c r="H52" t="s">
        <v>116</v>
      </c>
      <c r="I52" t="s">
        <v>28</v>
      </c>
      <c r="J52" t="s">
        <v>111</v>
      </c>
      <c r="K52">
        <v>2</v>
      </c>
    </row>
    <row r="53" spans="1:11" x14ac:dyDescent="0.3">
      <c r="A53" t="s">
        <v>197</v>
      </c>
      <c r="B53" t="s">
        <v>198</v>
      </c>
      <c r="E53" t="s">
        <v>199</v>
      </c>
      <c r="F53" t="s">
        <v>85</v>
      </c>
      <c r="G53">
        <v>1</v>
      </c>
    </row>
    <row r="54" spans="1:11" x14ac:dyDescent="0.3">
      <c r="A54" t="s">
        <v>200</v>
      </c>
      <c r="B54" t="s">
        <v>201</v>
      </c>
      <c r="C54" t="s">
        <v>68</v>
      </c>
      <c r="D54" t="s">
        <v>248</v>
      </c>
      <c r="E54" t="s">
        <v>202</v>
      </c>
      <c r="F54" t="s">
        <v>83</v>
      </c>
      <c r="G54">
        <v>4</v>
      </c>
      <c r="H54" t="s">
        <v>116</v>
      </c>
      <c r="I54" t="s">
        <v>28</v>
      </c>
      <c r="J54" t="s">
        <v>110</v>
      </c>
      <c r="K54">
        <v>3</v>
      </c>
    </row>
    <row r="55" spans="1:11" x14ac:dyDescent="0.3">
      <c r="A55" t="s">
        <v>203</v>
      </c>
      <c r="B55" t="s">
        <v>204</v>
      </c>
      <c r="C55" t="s">
        <v>72</v>
      </c>
      <c r="D55" t="s">
        <v>133</v>
      </c>
      <c r="E55" t="s">
        <v>205</v>
      </c>
      <c r="F55" t="s">
        <v>299</v>
      </c>
      <c r="G55">
        <v>0</v>
      </c>
      <c r="H55" t="s">
        <v>116</v>
      </c>
      <c r="I55" t="s">
        <v>28</v>
      </c>
      <c r="J55" t="s">
        <v>111</v>
      </c>
      <c r="K55">
        <v>2</v>
      </c>
    </row>
    <row r="56" spans="1:11" x14ac:dyDescent="0.3">
      <c r="A56" t="s">
        <v>119</v>
      </c>
      <c r="B56" t="s">
        <v>206</v>
      </c>
      <c r="C56" t="s">
        <v>72</v>
      </c>
      <c r="D56" t="s">
        <v>122</v>
      </c>
      <c r="E56" t="s">
        <v>142</v>
      </c>
      <c r="F56" t="s">
        <v>299</v>
      </c>
      <c r="G56">
        <v>0</v>
      </c>
      <c r="H56" t="s">
        <v>116</v>
      </c>
      <c r="I56" t="s">
        <v>28</v>
      </c>
      <c r="J56" t="s">
        <v>111</v>
      </c>
      <c r="K56">
        <v>2</v>
      </c>
    </row>
    <row r="57" spans="1:11" x14ac:dyDescent="0.3">
      <c r="A57" t="s">
        <v>207</v>
      </c>
      <c r="B57" t="s">
        <v>208</v>
      </c>
      <c r="C57" t="s">
        <v>68</v>
      </c>
      <c r="D57" t="s">
        <v>77</v>
      </c>
      <c r="E57" t="s">
        <v>209</v>
      </c>
      <c r="F57" t="s">
        <v>299</v>
      </c>
      <c r="G57">
        <v>0</v>
      </c>
      <c r="H57" t="s">
        <v>116</v>
      </c>
      <c r="I57" t="s">
        <v>28</v>
      </c>
      <c r="J57" t="s">
        <v>110</v>
      </c>
      <c r="K57">
        <v>3</v>
      </c>
    </row>
    <row r="58" spans="1:11" x14ac:dyDescent="0.3">
      <c r="A58" t="s">
        <v>210</v>
      </c>
      <c r="B58" t="s">
        <v>211</v>
      </c>
      <c r="C58" t="s">
        <v>68</v>
      </c>
      <c r="D58" t="s">
        <v>272</v>
      </c>
      <c r="E58" t="s">
        <v>121</v>
      </c>
      <c r="F58" t="s">
        <v>299</v>
      </c>
      <c r="G58">
        <v>0</v>
      </c>
      <c r="H58" t="s">
        <v>116</v>
      </c>
      <c r="I58" t="s">
        <v>28</v>
      </c>
      <c r="J58" t="s">
        <v>111</v>
      </c>
      <c r="K58">
        <v>2</v>
      </c>
    </row>
    <row r="59" spans="1:11" x14ac:dyDescent="0.3">
      <c r="A59" t="s">
        <v>212</v>
      </c>
      <c r="B59" t="s">
        <v>213</v>
      </c>
      <c r="C59" t="s">
        <v>72</v>
      </c>
      <c r="D59" t="s">
        <v>133</v>
      </c>
      <c r="E59" t="s">
        <v>214</v>
      </c>
      <c r="F59" t="s">
        <v>299</v>
      </c>
      <c r="G59">
        <v>0</v>
      </c>
      <c r="H59" t="s">
        <v>116</v>
      </c>
      <c r="I59" t="s">
        <v>28</v>
      </c>
      <c r="J59" t="s">
        <v>111</v>
      </c>
      <c r="K59">
        <v>2</v>
      </c>
    </row>
    <row r="60" spans="1:11" x14ac:dyDescent="0.3">
      <c r="A60" t="s">
        <v>215</v>
      </c>
      <c r="B60" t="s">
        <v>216</v>
      </c>
      <c r="C60" t="s">
        <v>68</v>
      </c>
      <c r="D60" t="s">
        <v>69</v>
      </c>
      <c r="E60" t="s">
        <v>173</v>
      </c>
      <c r="F60" t="s">
        <v>299</v>
      </c>
      <c r="G60">
        <v>0</v>
      </c>
      <c r="H60" t="s">
        <v>116</v>
      </c>
      <c r="I60" t="s">
        <v>28</v>
      </c>
      <c r="J60" t="s">
        <v>110</v>
      </c>
      <c r="K60">
        <v>3</v>
      </c>
    </row>
    <row r="61" spans="1:11" x14ac:dyDescent="0.3">
      <c r="A61" t="s">
        <v>217</v>
      </c>
      <c r="B61" t="s">
        <v>218</v>
      </c>
      <c r="C61" t="s">
        <v>68</v>
      </c>
      <c r="D61" t="s">
        <v>248</v>
      </c>
      <c r="E61" t="s">
        <v>98</v>
      </c>
      <c r="F61" t="s">
        <v>85</v>
      </c>
      <c r="G61">
        <v>1</v>
      </c>
      <c r="H61" t="s">
        <v>116</v>
      </c>
      <c r="I61" t="s">
        <v>28</v>
      </c>
      <c r="J61" t="s">
        <v>110</v>
      </c>
      <c r="K61">
        <v>3</v>
      </c>
    </row>
    <row r="62" spans="1:11" x14ac:dyDescent="0.3">
      <c r="A62" t="s">
        <v>219</v>
      </c>
      <c r="B62" t="s">
        <v>220</v>
      </c>
      <c r="C62" t="s">
        <v>68</v>
      </c>
      <c r="D62" t="s">
        <v>77</v>
      </c>
      <c r="E62" t="s">
        <v>91</v>
      </c>
      <c r="F62" t="s">
        <v>299</v>
      </c>
      <c r="G62">
        <v>0</v>
      </c>
      <c r="H62" t="s">
        <v>116</v>
      </c>
      <c r="I62" t="s">
        <v>28</v>
      </c>
      <c r="J62" t="s">
        <v>110</v>
      </c>
      <c r="K62">
        <v>3</v>
      </c>
    </row>
    <row r="63" spans="1:11" x14ac:dyDescent="0.3">
      <c r="A63" t="s">
        <v>221</v>
      </c>
      <c r="B63" t="s">
        <v>222</v>
      </c>
      <c r="C63" t="s">
        <v>68</v>
      </c>
      <c r="D63" t="s">
        <v>248</v>
      </c>
      <c r="E63" t="s">
        <v>91</v>
      </c>
      <c r="F63" t="s">
        <v>299</v>
      </c>
      <c r="G63">
        <v>0</v>
      </c>
      <c r="H63" t="s">
        <v>116</v>
      </c>
      <c r="I63" t="s">
        <v>28</v>
      </c>
      <c r="J63" t="s">
        <v>110</v>
      </c>
      <c r="K63">
        <v>3</v>
      </c>
    </row>
    <row r="64" spans="1:11" x14ac:dyDescent="0.3">
      <c r="A64" t="s">
        <v>223</v>
      </c>
      <c r="B64" t="s">
        <v>224</v>
      </c>
      <c r="C64" t="s">
        <v>72</v>
      </c>
      <c r="D64" t="s">
        <v>133</v>
      </c>
      <c r="E64" t="s">
        <v>225</v>
      </c>
      <c r="F64" t="s">
        <v>299</v>
      </c>
      <c r="G64">
        <v>0</v>
      </c>
      <c r="H64" t="s">
        <v>116</v>
      </c>
      <c r="I64" t="s">
        <v>28</v>
      </c>
      <c r="J64" t="s">
        <v>226</v>
      </c>
      <c r="K64">
        <v>1</v>
      </c>
    </row>
    <row r="65" spans="1:11" x14ac:dyDescent="0.3">
      <c r="A65" t="s">
        <v>227</v>
      </c>
      <c r="B65" t="s">
        <v>228</v>
      </c>
      <c r="C65" t="s">
        <v>68</v>
      </c>
      <c r="D65" t="s">
        <v>229</v>
      </c>
      <c r="E65" t="s">
        <v>173</v>
      </c>
      <c r="F65" t="s">
        <v>85</v>
      </c>
      <c r="G65">
        <v>1</v>
      </c>
      <c r="H65" t="s">
        <v>116</v>
      </c>
      <c r="I65" t="s">
        <v>28</v>
      </c>
      <c r="J65" t="s">
        <v>110</v>
      </c>
      <c r="K65">
        <v>3</v>
      </c>
    </row>
    <row r="66" spans="1:11" x14ac:dyDescent="0.3">
      <c r="A66" t="s">
        <v>230</v>
      </c>
      <c r="B66" t="s">
        <v>231</v>
      </c>
      <c r="C66" t="s">
        <v>68</v>
      </c>
      <c r="D66" t="s">
        <v>108</v>
      </c>
      <c r="E66" t="s">
        <v>109</v>
      </c>
      <c r="F66" t="s">
        <v>299</v>
      </c>
      <c r="G66">
        <v>0</v>
      </c>
      <c r="H66" t="s">
        <v>116</v>
      </c>
      <c r="I66" t="s">
        <v>28</v>
      </c>
      <c r="J66" t="s">
        <v>110</v>
      </c>
      <c r="K66">
        <v>3</v>
      </c>
    </row>
    <row r="67" spans="1:11" x14ac:dyDescent="0.3">
      <c r="A67" t="s">
        <v>232</v>
      </c>
      <c r="B67" t="s">
        <v>233</v>
      </c>
      <c r="C67" t="s">
        <v>68</v>
      </c>
      <c r="D67" t="s">
        <v>69</v>
      </c>
      <c r="E67" t="s">
        <v>121</v>
      </c>
      <c r="F67" t="s">
        <v>299</v>
      </c>
      <c r="G67">
        <v>0</v>
      </c>
      <c r="H67" t="s">
        <v>116</v>
      </c>
      <c r="I67" t="s">
        <v>28</v>
      </c>
      <c r="J67" t="s">
        <v>226</v>
      </c>
      <c r="K67">
        <v>1</v>
      </c>
    </row>
    <row r="68" spans="1:11" x14ac:dyDescent="0.3">
      <c r="A68" t="s">
        <v>234</v>
      </c>
      <c r="B68" t="s">
        <v>235</v>
      </c>
      <c r="C68" t="s">
        <v>236</v>
      </c>
      <c r="D68" t="s">
        <v>69</v>
      </c>
      <c r="E68" t="s">
        <v>192</v>
      </c>
      <c r="F68" t="s">
        <v>299</v>
      </c>
      <c r="G68">
        <v>0</v>
      </c>
      <c r="H68" t="s">
        <v>116</v>
      </c>
      <c r="I68" t="s">
        <v>28</v>
      </c>
      <c r="J68" t="s">
        <v>110</v>
      </c>
      <c r="K68">
        <v>3</v>
      </c>
    </row>
    <row r="69" spans="1:11" x14ac:dyDescent="0.3">
      <c r="A69" t="s">
        <v>237</v>
      </c>
      <c r="B69" t="s">
        <v>238</v>
      </c>
      <c r="C69" t="s">
        <v>68</v>
      </c>
      <c r="D69" t="s">
        <v>77</v>
      </c>
      <c r="E69" t="s">
        <v>239</v>
      </c>
      <c r="F69" t="s">
        <v>299</v>
      </c>
      <c r="G69">
        <v>0</v>
      </c>
      <c r="H69" t="s">
        <v>116</v>
      </c>
      <c r="I69" t="s">
        <v>28</v>
      </c>
      <c r="J69" t="s">
        <v>111</v>
      </c>
      <c r="K69">
        <v>2</v>
      </c>
    </row>
    <row r="70" spans="1:11" x14ac:dyDescent="0.3">
      <c r="A70" t="s">
        <v>241</v>
      </c>
      <c r="B70" t="s">
        <v>240</v>
      </c>
      <c r="C70" t="s">
        <v>72</v>
      </c>
      <c r="D70" t="s">
        <v>133</v>
      </c>
      <c r="E70" t="s">
        <v>242</v>
      </c>
      <c r="F70" t="s">
        <v>299</v>
      </c>
      <c r="G70">
        <v>0</v>
      </c>
      <c r="H70" t="s">
        <v>116</v>
      </c>
      <c r="I70" t="s">
        <v>28</v>
      </c>
      <c r="J70" t="s">
        <v>226</v>
      </c>
      <c r="K70">
        <v>1</v>
      </c>
    </row>
    <row r="71" spans="1:11" x14ac:dyDescent="0.3">
      <c r="A71" t="s">
        <v>117</v>
      </c>
      <c r="B71" t="s">
        <v>243</v>
      </c>
      <c r="C71" t="s">
        <v>72</v>
      </c>
      <c r="D71" t="s">
        <v>77</v>
      </c>
      <c r="E71" t="s">
        <v>109</v>
      </c>
      <c r="F71" t="s">
        <v>85</v>
      </c>
      <c r="G71">
        <v>1</v>
      </c>
      <c r="H71" t="s">
        <v>116</v>
      </c>
      <c r="I71" t="s">
        <v>28</v>
      </c>
      <c r="J71" t="s">
        <v>111</v>
      </c>
      <c r="K71">
        <v>2</v>
      </c>
    </row>
    <row r="72" spans="1:11" x14ac:dyDescent="0.3">
      <c r="A72" t="s">
        <v>244</v>
      </c>
      <c r="B72" t="s">
        <v>245</v>
      </c>
      <c r="C72" t="s">
        <v>68</v>
      </c>
      <c r="D72" t="s">
        <v>69</v>
      </c>
      <c r="E72" t="s">
        <v>179</v>
      </c>
      <c r="F72" t="s">
        <v>89</v>
      </c>
      <c r="G72">
        <v>2</v>
      </c>
      <c r="H72" t="s">
        <v>116</v>
      </c>
      <c r="I72" t="s">
        <v>17</v>
      </c>
      <c r="J72" t="s">
        <v>111</v>
      </c>
      <c r="K72">
        <v>2</v>
      </c>
    </row>
    <row r="73" spans="1:11" x14ac:dyDescent="0.3">
      <c r="A73" t="s">
        <v>246</v>
      </c>
      <c r="B73" t="s">
        <v>247</v>
      </c>
      <c r="C73" t="s">
        <v>68</v>
      </c>
      <c r="D73" t="s">
        <v>248</v>
      </c>
      <c r="E73" t="s">
        <v>91</v>
      </c>
      <c r="F73" t="s">
        <v>90</v>
      </c>
      <c r="G73">
        <v>3</v>
      </c>
      <c r="H73" t="s">
        <v>116</v>
      </c>
      <c r="I73" t="s">
        <v>17</v>
      </c>
      <c r="J73" t="s">
        <v>111</v>
      </c>
      <c r="K73">
        <v>2</v>
      </c>
    </row>
    <row r="74" spans="1:11" x14ac:dyDescent="0.3">
      <c r="A74" t="s">
        <v>246</v>
      </c>
      <c r="B74" t="s">
        <v>247</v>
      </c>
      <c r="E74" t="s">
        <v>91</v>
      </c>
      <c r="F74" t="s">
        <v>196</v>
      </c>
      <c r="G74">
        <v>5</v>
      </c>
    </row>
    <row r="75" spans="1:11" x14ac:dyDescent="0.3">
      <c r="A75" t="s">
        <v>249</v>
      </c>
      <c r="B75" t="s">
        <v>250</v>
      </c>
      <c r="C75" t="s">
        <v>68</v>
      </c>
      <c r="D75" t="s">
        <v>122</v>
      </c>
      <c r="E75" t="s">
        <v>251</v>
      </c>
      <c r="F75" t="s">
        <v>85</v>
      </c>
      <c r="G75">
        <v>1</v>
      </c>
      <c r="H75" t="s">
        <v>116</v>
      </c>
      <c r="I75" t="s">
        <v>17</v>
      </c>
      <c r="J75" t="s">
        <v>111</v>
      </c>
      <c r="K75">
        <v>2</v>
      </c>
    </row>
    <row r="76" spans="1:11" x14ac:dyDescent="0.3">
      <c r="A76" t="s">
        <v>249</v>
      </c>
      <c r="B76" t="s">
        <v>250</v>
      </c>
      <c r="E76" t="s">
        <v>251</v>
      </c>
      <c r="F76" t="s">
        <v>89</v>
      </c>
      <c r="G76">
        <v>2</v>
      </c>
    </row>
    <row r="77" spans="1:11" x14ac:dyDescent="0.3">
      <c r="A77" t="s">
        <v>252</v>
      </c>
      <c r="B77" t="s">
        <v>253</v>
      </c>
      <c r="C77" t="s">
        <v>72</v>
      </c>
      <c r="D77" t="s">
        <v>115</v>
      </c>
      <c r="E77" t="s">
        <v>254</v>
      </c>
      <c r="F77" t="s">
        <v>85</v>
      </c>
      <c r="G77">
        <v>1</v>
      </c>
      <c r="H77" t="s">
        <v>116</v>
      </c>
      <c r="I77" t="s">
        <v>17</v>
      </c>
      <c r="J77" t="s">
        <v>111</v>
      </c>
      <c r="K77">
        <v>2</v>
      </c>
    </row>
    <row r="78" spans="1:11" x14ac:dyDescent="0.3">
      <c r="A78" t="s">
        <v>252</v>
      </c>
      <c r="B78" t="s">
        <v>253</v>
      </c>
      <c r="E78" t="s">
        <v>254</v>
      </c>
      <c r="F78" t="s">
        <v>89</v>
      </c>
      <c r="G78">
        <v>2</v>
      </c>
    </row>
    <row r="79" spans="1:11" x14ac:dyDescent="0.3">
      <c r="A79" t="s">
        <v>255</v>
      </c>
      <c r="B79" t="s">
        <v>256</v>
      </c>
      <c r="C79" t="s">
        <v>236</v>
      </c>
      <c r="D79" t="s">
        <v>69</v>
      </c>
      <c r="E79" t="s">
        <v>202</v>
      </c>
      <c r="F79" t="s">
        <v>89</v>
      </c>
      <c r="G79">
        <v>2</v>
      </c>
      <c r="H79" t="s">
        <v>116</v>
      </c>
      <c r="I79" t="s">
        <v>17</v>
      </c>
      <c r="J79" t="s">
        <v>110</v>
      </c>
      <c r="K79">
        <v>3</v>
      </c>
    </row>
    <row r="80" spans="1:11" x14ac:dyDescent="0.3">
      <c r="A80" t="s">
        <v>255</v>
      </c>
      <c r="B80" t="s">
        <v>256</v>
      </c>
      <c r="E80" t="s">
        <v>202</v>
      </c>
      <c r="F80" t="s">
        <v>90</v>
      </c>
      <c r="G80">
        <v>3</v>
      </c>
    </row>
    <row r="81" spans="1:11" x14ac:dyDescent="0.3">
      <c r="A81" t="s">
        <v>257</v>
      </c>
      <c r="B81" t="s">
        <v>258</v>
      </c>
      <c r="C81" t="s">
        <v>236</v>
      </c>
      <c r="D81" t="s">
        <v>229</v>
      </c>
      <c r="E81" t="s">
        <v>91</v>
      </c>
      <c r="F81" t="s">
        <v>83</v>
      </c>
      <c r="G81">
        <v>4</v>
      </c>
      <c r="H81" t="s">
        <v>116</v>
      </c>
      <c r="I81" t="s">
        <v>17</v>
      </c>
      <c r="J81" t="s">
        <v>110</v>
      </c>
      <c r="K81">
        <v>3</v>
      </c>
    </row>
    <row r="82" spans="1:11" x14ac:dyDescent="0.3">
      <c r="A82" t="s">
        <v>117</v>
      </c>
      <c r="B82" t="s">
        <v>259</v>
      </c>
      <c r="C82" t="s">
        <v>68</v>
      </c>
      <c r="D82" t="s">
        <v>77</v>
      </c>
      <c r="E82" t="s">
        <v>148</v>
      </c>
      <c r="F82" t="s">
        <v>299</v>
      </c>
      <c r="G82">
        <v>0</v>
      </c>
      <c r="H82" t="s">
        <v>116</v>
      </c>
      <c r="I82" t="s">
        <v>17</v>
      </c>
      <c r="J82" t="s">
        <v>110</v>
      </c>
      <c r="K82">
        <v>3</v>
      </c>
    </row>
    <row r="83" spans="1:11" x14ac:dyDescent="0.3">
      <c r="A83" t="s">
        <v>260</v>
      </c>
      <c r="B83" t="s">
        <v>261</v>
      </c>
      <c r="C83" t="s">
        <v>68</v>
      </c>
      <c r="D83" t="s">
        <v>77</v>
      </c>
      <c r="E83" t="s">
        <v>91</v>
      </c>
      <c r="F83" t="s">
        <v>299</v>
      </c>
      <c r="G83">
        <v>0</v>
      </c>
      <c r="H83" t="s">
        <v>116</v>
      </c>
      <c r="I83" t="s">
        <v>17</v>
      </c>
      <c r="J83" t="s">
        <v>111</v>
      </c>
      <c r="K83">
        <v>2</v>
      </c>
    </row>
    <row r="84" spans="1:11" x14ac:dyDescent="0.3">
      <c r="A84" t="s">
        <v>262</v>
      </c>
      <c r="B84" t="s">
        <v>263</v>
      </c>
      <c r="C84" t="s">
        <v>72</v>
      </c>
      <c r="D84" t="s">
        <v>178</v>
      </c>
      <c r="E84" t="s">
        <v>264</v>
      </c>
      <c r="F84" t="s">
        <v>87</v>
      </c>
      <c r="G84">
        <v>7</v>
      </c>
      <c r="H84" t="s">
        <v>116</v>
      </c>
      <c r="I84" t="s">
        <v>17</v>
      </c>
      <c r="J84" t="s">
        <v>111</v>
      </c>
      <c r="K84">
        <v>2</v>
      </c>
    </row>
    <row r="85" spans="1:11" x14ac:dyDescent="0.3">
      <c r="A85" t="s">
        <v>262</v>
      </c>
      <c r="B85" t="s">
        <v>263</v>
      </c>
      <c r="E85" t="s">
        <v>264</v>
      </c>
      <c r="F85" t="s">
        <v>85</v>
      </c>
      <c r="G85">
        <v>1</v>
      </c>
    </row>
    <row r="86" spans="1:11" x14ac:dyDescent="0.3">
      <c r="A86" t="s">
        <v>262</v>
      </c>
      <c r="B86" t="s">
        <v>263</v>
      </c>
      <c r="E86" t="s">
        <v>264</v>
      </c>
      <c r="F86" t="s">
        <v>89</v>
      </c>
      <c r="G86">
        <v>2</v>
      </c>
    </row>
    <row r="87" spans="1:11" x14ac:dyDescent="0.3">
      <c r="A87" t="s">
        <v>223</v>
      </c>
      <c r="B87" t="s">
        <v>265</v>
      </c>
      <c r="C87" t="s">
        <v>72</v>
      </c>
      <c r="D87" t="s">
        <v>133</v>
      </c>
      <c r="E87" t="s">
        <v>266</v>
      </c>
      <c r="F87" t="s">
        <v>299</v>
      </c>
      <c r="G87">
        <v>0</v>
      </c>
      <c r="H87" t="s">
        <v>116</v>
      </c>
      <c r="I87" t="s">
        <v>17</v>
      </c>
      <c r="J87" t="s">
        <v>111</v>
      </c>
      <c r="K87">
        <v>2</v>
      </c>
    </row>
    <row r="88" spans="1:11" x14ac:dyDescent="0.3">
      <c r="A88" t="s">
        <v>119</v>
      </c>
      <c r="B88" t="s">
        <v>267</v>
      </c>
      <c r="C88" t="s">
        <v>72</v>
      </c>
      <c r="D88" t="s">
        <v>122</v>
      </c>
      <c r="E88" t="s">
        <v>268</v>
      </c>
      <c r="F88" t="s">
        <v>299</v>
      </c>
      <c r="G88">
        <v>0</v>
      </c>
      <c r="H88" t="s">
        <v>269</v>
      </c>
      <c r="I88" t="s">
        <v>40</v>
      </c>
      <c r="J88" t="s">
        <v>111</v>
      </c>
      <c r="K88">
        <v>2</v>
      </c>
    </row>
    <row r="89" spans="1:11" x14ac:dyDescent="0.3">
      <c r="A89" t="s">
        <v>270</v>
      </c>
      <c r="B89" t="s">
        <v>271</v>
      </c>
      <c r="C89" t="s">
        <v>68</v>
      </c>
      <c r="D89" t="s">
        <v>272</v>
      </c>
      <c r="E89" t="s">
        <v>92</v>
      </c>
      <c r="F89" t="s">
        <v>299</v>
      </c>
      <c r="G89">
        <v>0</v>
      </c>
      <c r="H89" t="s">
        <v>269</v>
      </c>
      <c r="I89" t="s">
        <v>40</v>
      </c>
      <c r="J89" t="s">
        <v>111</v>
      </c>
      <c r="K89">
        <v>2</v>
      </c>
    </row>
    <row r="90" spans="1:11" x14ac:dyDescent="0.3">
      <c r="A90" t="s">
        <v>273</v>
      </c>
      <c r="B90" t="s">
        <v>274</v>
      </c>
      <c r="C90" t="s">
        <v>68</v>
      </c>
      <c r="D90" t="s">
        <v>115</v>
      </c>
      <c r="E90" t="s">
        <v>105</v>
      </c>
      <c r="F90" t="s">
        <v>85</v>
      </c>
      <c r="G90">
        <v>1</v>
      </c>
      <c r="H90" t="s">
        <v>269</v>
      </c>
      <c r="I90" t="s">
        <v>40</v>
      </c>
      <c r="J90" t="s">
        <v>226</v>
      </c>
      <c r="K90">
        <v>1</v>
      </c>
    </row>
    <row r="91" spans="1:11" x14ac:dyDescent="0.3">
      <c r="A91" t="s">
        <v>275</v>
      </c>
      <c r="B91" t="s">
        <v>276</v>
      </c>
      <c r="C91" t="s">
        <v>68</v>
      </c>
      <c r="D91" t="s">
        <v>153</v>
      </c>
      <c r="E91" t="s">
        <v>154</v>
      </c>
      <c r="F91" t="s">
        <v>299</v>
      </c>
      <c r="G91">
        <v>0</v>
      </c>
      <c r="H91" t="s">
        <v>269</v>
      </c>
      <c r="I91" t="s">
        <v>40</v>
      </c>
      <c r="J91" t="s">
        <v>110</v>
      </c>
      <c r="K91">
        <v>3</v>
      </c>
    </row>
    <row r="92" spans="1:11" x14ac:dyDescent="0.3">
      <c r="A92" t="s">
        <v>277</v>
      </c>
      <c r="B92" t="s">
        <v>276</v>
      </c>
      <c r="C92" t="s">
        <v>68</v>
      </c>
      <c r="D92" t="s">
        <v>229</v>
      </c>
      <c r="E92" t="s">
        <v>283</v>
      </c>
      <c r="F92" t="s">
        <v>299</v>
      </c>
      <c r="G92">
        <v>0</v>
      </c>
      <c r="H92" t="s">
        <v>269</v>
      </c>
      <c r="I92" t="s">
        <v>40</v>
      </c>
      <c r="J92" t="s">
        <v>110</v>
      </c>
      <c r="K92">
        <v>3</v>
      </c>
    </row>
    <row r="93" spans="1:11" x14ac:dyDescent="0.3">
      <c r="A93" t="s">
        <v>278</v>
      </c>
      <c r="B93" t="s">
        <v>279</v>
      </c>
      <c r="C93" t="s">
        <v>68</v>
      </c>
      <c r="D93" t="s">
        <v>115</v>
      </c>
      <c r="E93" t="s">
        <v>280</v>
      </c>
      <c r="F93" t="s">
        <v>89</v>
      </c>
      <c r="G93">
        <v>2</v>
      </c>
      <c r="H93" t="s">
        <v>269</v>
      </c>
      <c r="I93" t="s">
        <v>40</v>
      </c>
      <c r="J93" t="s">
        <v>111</v>
      </c>
      <c r="K93">
        <v>2</v>
      </c>
    </row>
    <row r="94" spans="1:11" x14ac:dyDescent="0.3">
      <c r="A94" t="s">
        <v>282</v>
      </c>
      <c r="B94" t="s">
        <v>281</v>
      </c>
      <c r="C94" t="s">
        <v>68</v>
      </c>
      <c r="D94" t="s">
        <v>69</v>
      </c>
      <c r="E94" t="s">
        <v>84</v>
      </c>
      <c r="F94" t="s">
        <v>299</v>
      </c>
      <c r="G94">
        <v>0</v>
      </c>
      <c r="H94" t="s">
        <v>269</v>
      </c>
      <c r="I94" t="s">
        <v>40</v>
      </c>
      <c r="J94" t="s">
        <v>111</v>
      </c>
      <c r="K94">
        <v>2</v>
      </c>
    </row>
    <row r="95" spans="1:11" x14ac:dyDescent="0.3">
      <c r="A95" t="s">
        <v>284</v>
      </c>
      <c r="B95" t="s">
        <v>285</v>
      </c>
      <c r="C95" t="s">
        <v>68</v>
      </c>
      <c r="D95" t="s">
        <v>77</v>
      </c>
      <c r="E95" t="s">
        <v>98</v>
      </c>
      <c r="F95" t="s">
        <v>85</v>
      </c>
      <c r="G95">
        <v>1</v>
      </c>
      <c r="H95" t="s">
        <v>269</v>
      </c>
      <c r="I95" t="s">
        <v>40</v>
      </c>
      <c r="J95" t="s">
        <v>111</v>
      </c>
      <c r="K95">
        <v>2</v>
      </c>
    </row>
    <row r="96" spans="1:11" x14ac:dyDescent="0.3">
      <c r="A96" t="s">
        <v>284</v>
      </c>
      <c r="B96" t="s">
        <v>285</v>
      </c>
      <c r="E96" t="s">
        <v>98</v>
      </c>
      <c r="F96" t="s">
        <v>89</v>
      </c>
      <c r="G96">
        <v>2</v>
      </c>
    </row>
    <row r="97" spans="1:11" x14ac:dyDescent="0.3">
      <c r="A97" t="s">
        <v>131</v>
      </c>
      <c r="B97" t="s">
        <v>286</v>
      </c>
      <c r="C97" t="s">
        <v>72</v>
      </c>
      <c r="D97" t="s">
        <v>133</v>
      </c>
      <c r="E97" t="s">
        <v>134</v>
      </c>
      <c r="F97" t="s">
        <v>299</v>
      </c>
      <c r="G97">
        <v>0</v>
      </c>
      <c r="H97" t="s">
        <v>269</v>
      </c>
      <c r="I97" t="s">
        <v>40</v>
      </c>
      <c r="J97" t="s">
        <v>111</v>
      </c>
      <c r="K97">
        <v>2</v>
      </c>
    </row>
    <row r="98" spans="1:11" x14ac:dyDescent="0.3">
      <c r="A98" t="s">
        <v>287</v>
      </c>
      <c r="B98" t="s">
        <v>288</v>
      </c>
      <c r="C98" t="s">
        <v>68</v>
      </c>
      <c r="D98" t="s">
        <v>229</v>
      </c>
      <c r="E98" t="s">
        <v>134</v>
      </c>
      <c r="F98" t="s">
        <v>89</v>
      </c>
      <c r="G98">
        <v>2</v>
      </c>
      <c r="H98" t="s">
        <v>269</v>
      </c>
      <c r="I98" t="s">
        <v>40</v>
      </c>
      <c r="J98" t="s">
        <v>110</v>
      </c>
      <c r="K98">
        <v>3</v>
      </c>
    </row>
    <row r="99" spans="1:11" x14ac:dyDescent="0.3">
      <c r="A99" t="s">
        <v>296</v>
      </c>
      <c r="B99" t="s">
        <v>297</v>
      </c>
      <c r="C99" t="s">
        <v>72</v>
      </c>
      <c r="D99" t="s">
        <v>133</v>
      </c>
      <c r="E99" t="s">
        <v>298</v>
      </c>
      <c r="F99" t="s">
        <v>299</v>
      </c>
      <c r="G99">
        <v>0</v>
      </c>
      <c r="H99" t="s">
        <v>116</v>
      </c>
      <c r="I99" t="s">
        <v>20</v>
      </c>
      <c r="J99" t="s">
        <v>111</v>
      </c>
      <c r="K99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56DBC-3F29-4CCF-AFD4-BEF482ED886A}">
  <dimension ref="A1:B16"/>
  <sheetViews>
    <sheetView workbookViewId="0">
      <selection activeCell="C17" sqref="C17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1" spans="1:2" x14ac:dyDescent="0.3">
      <c r="A1" s="2" t="s">
        <v>300</v>
      </c>
      <c r="B1" t="s">
        <v>303</v>
      </c>
    </row>
    <row r="2" spans="1:2" x14ac:dyDescent="0.3">
      <c r="A2" s="3" t="s">
        <v>69</v>
      </c>
      <c r="B2">
        <v>13</v>
      </c>
    </row>
    <row r="3" spans="1:2" x14ac:dyDescent="0.3">
      <c r="A3" s="3" t="s">
        <v>248</v>
      </c>
      <c r="B3">
        <v>5</v>
      </c>
    </row>
    <row r="4" spans="1:2" x14ac:dyDescent="0.3">
      <c r="A4" s="3" t="s">
        <v>178</v>
      </c>
      <c r="B4">
        <v>3</v>
      </c>
    </row>
    <row r="5" spans="1:2" x14ac:dyDescent="0.3">
      <c r="A5" s="3" t="s">
        <v>97</v>
      </c>
      <c r="B5">
        <v>2</v>
      </c>
    </row>
    <row r="6" spans="1:2" x14ac:dyDescent="0.3">
      <c r="A6" s="3" t="s">
        <v>115</v>
      </c>
      <c r="B6">
        <v>5</v>
      </c>
    </row>
    <row r="7" spans="1:2" x14ac:dyDescent="0.3">
      <c r="A7" s="3" t="s">
        <v>272</v>
      </c>
      <c r="B7">
        <v>7</v>
      </c>
    </row>
    <row r="8" spans="1:2" x14ac:dyDescent="0.3">
      <c r="A8" s="3" t="s">
        <v>133</v>
      </c>
      <c r="B8">
        <v>11</v>
      </c>
    </row>
    <row r="9" spans="1:2" x14ac:dyDescent="0.3">
      <c r="A9" s="3" t="s">
        <v>160</v>
      </c>
      <c r="B9">
        <v>1</v>
      </c>
    </row>
    <row r="10" spans="1:2" x14ac:dyDescent="0.3">
      <c r="A10" s="3" t="s">
        <v>153</v>
      </c>
      <c r="B10">
        <v>3</v>
      </c>
    </row>
    <row r="11" spans="1:2" x14ac:dyDescent="0.3">
      <c r="A11" s="3" t="s">
        <v>108</v>
      </c>
      <c r="B11">
        <v>5</v>
      </c>
    </row>
    <row r="12" spans="1:2" x14ac:dyDescent="0.3">
      <c r="A12" s="3" t="s">
        <v>77</v>
      </c>
      <c r="B12">
        <v>10</v>
      </c>
    </row>
    <row r="13" spans="1:2" x14ac:dyDescent="0.3">
      <c r="A13" s="3" t="s">
        <v>229</v>
      </c>
      <c r="B13">
        <v>8</v>
      </c>
    </row>
    <row r="14" spans="1:2" x14ac:dyDescent="0.3">
      <c r="A14" s="3" t="s">
        <v>122</v>
      </c>
      <c r="B14">
        <v>6</v>
      </c>
    </row>
    <row r="15" spans="1:2" x14ac:dyDescent="0.3">
      <c r="A15" s="3" t="s">
        <v>301</v>
      </c>
    </row>
    <row r="16" spans="1:2" x14ac:dyDescent="0.3">
      <c r="A16" s="3" t="s">
        <v>302</v>
      </c>
      <c r="B16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46B5-B629-4B59-80C1-D16F3BBDC90E}">
  <dimension ref="A1:B6"/>
  <sheetViews>
    <sheetView workbookViewId="0">
      <selection activeCell="C21" sqref="C21"/>
    </sheetView>
  </sheetViews>
  <sheetFormatPr defaultRowHeight="14.4" x14ac:dyDescent="0.3"/>
  <cols>
    <col min="1" max="1" width="12.44140625" bestFit="1" customWidth="1"/>
    <col min="2" max="2" width="18.88671875" bestFit="1" customWidth="1"/>
  </cols>
  <sheetData>
    <row r="1" spans="1:2" x14ac:dyDescent="0.3">
      <c r="A1" s="2" t="s">
        <v>300</v>
      </c>
      <c r="B1" t="s">
        <v>304</v>
      </c>
    </row>
    <row r="2" spans="1:2" x14ac:dyDescent="0.3">
      <c r="A2" s="3" t="s">
        <v>226</v>
      </c>
      <c r="B2">
        <v>4</v>
      </c>
    </row>
    <row r="3" spans="1:2" x14ac:dyDescent="0.3">
      <c r="A3" s="3" t="s">
        <v>110</v>
      </c>
      <c r="B3">
        <v>41</v>
      </c>
    </row>
    <row r="4" spans="1:2" x14ac:dyDescent="0.3">
      <c r="A4" s="3" t="s">
        <v>111</v>
      </c>
      <c r="B4">
        <v>33</v>
      </c>
    </row>
    <row r="5" spans="1:2" x14ac:dyDescent="0.3">
      <c r="A5" s="3" t="s">
        <v>301</v>
      </c>
    </row>
    <row r="6" spans="1:2" x14ac:dyDescent="0.3">
      <c r="A6" s="3" t="s">
        <v>302</v>
      </c>
      <c r="B6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D0B2-D9DE-4F5E-AB0F-71CBC2571C83}">
  <dimension ref="A1:B8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28.44140625" bestFit="1" customWidth="1"/>
  </cols>
  <sheetData>
    <row r="1" spans="1:2" x14ac:dyDescent="0.3">
      <c r="A1" s="2" t="s">
        <v>300</v>
      </c>
      <c r="B1" t="s">
        <v>305</v>
      </c>
    </row>
    <row r="2" spans="1:2" x14ac:dyDescent="0.3">
      <c r="A2" s="3" t="s">
        <v>68</v>
      </c>
      <c r="B2">
        <v>49</v>
      </c>
    </row>
    <row r="3" spans="1:2" x14ac:dyDescent="0.3">
      <c r="A3" s="3" t="s">
        <v>172</v>
      </c>
      <c r="B3">
        <v>3</v>
      </c>
    </row>
    <row r="4" spans="1:2" x14ac:dyDescent="0.3">
      <c r="A4" s="3" t="s">
        <v>72</v>
      </c>
      <c r="B4">
        <v>22</v>
      </c>
    </row>
    <row r="5" spans="1:2" x14ac:dyDescent="0.3">
      <c r="A5" s="3" t="s">
        <v>236</v>
      </c>
      <c r="B5">
        <v>3</v>
      </c>
    </row>
    <row r="6" spans="1:2" x14ac:dyDescent="0.3">
      <c r="A6" s="3" t="s">
        <v>159</v>
      </c>
      <c r="B6">
        <v>2</v>
      </c>
    </row>
    <row r="7" spans="1:2" x14ac:dyDescent="0.3">
      <c r="A7" s="3" t="s">
        <v>301</v>
      </c>
    </row>
    <row r="8" spans="1:2" x14ac:dyDescent="0.3">
      <c r="A8" s="3" t="s">
        <v>302</v>
      </c>
      <c r="B8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Event Locations</vt:lpstr>
      <vt:lpstr>Event Loc Slicer</vt:lpstr>
      <vt:lpstr>Restaurant Locations</vt:lpstr>
      <vt:lpstr>Type Counts</vt:lpstr>
      <vt:lpstr>Busiest Time Counts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Pontius</dc:creator>
  <cp:lastModifiedBy>Marc Pontius</cp:lastModifiedBy>
  <dcterms:created xsi:type="dcterms:W3CDTF">2025-11-05T13:00:23Z</dcterms:created>
  <dcterms:modified xsi:type="dcterms:W3CDTF">2025-11-13T00:56:44Z</dcterms:modified>
</cp:coreProperties>
</file>