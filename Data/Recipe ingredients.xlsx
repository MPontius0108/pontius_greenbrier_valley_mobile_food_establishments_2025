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workspace\c11\Capstone\Data\"/>
    </mc:Choice>
  </mc:AlternateContent>
  <xr:revisionPtr revIDLastSave="0" documentId="13_ncr:1_{0B4D9DC2-CF51-466B-B148-F51A2E3C4594}" xr6:coauthVersionLast="47" xr6:coauthVersionMax="47" xr10:uidLastSave="{00000000-0000-0000-0000-000000000000}"/>
  <bookViews>
    <workbookView xWindow="-96" yWindow="-96" windowWidth="23232" windowHeight="13872" xr2:uid="{153419BE-F78B-4AF7-94B7-DB7FA89D0DF7}"/>
  </bookViews>
  <sheets>
    <sheet name="menu_recipe_breakdown" sheetId="1" r:id="rId1"/>
    <sheet name="Sheet2" sheetId="2" r:id="rId2"/>
  </sheet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9" i="1" l="1"/>
  <c r="E90" i="1"/>
  <c r="E91" i="1"/>
  <c r="E92" i="1"/>
  <c r="E93" i="1"/>
  <c r="E94" i="1"/>
  <c r="E95" i="1"/>
  <c r="E96" i="1"/>
  <c r="E88" i="1"/>
  <c r="E99" i="1"/>
  <c r="E100" i="1"/>
  <c r="E101" i="1"/>
  <c r="E102" i="1"/>
  <c r="E103" i="1"/>
  <c r="E104" i="1"/>
  <c r="E98" i="1"/>
  <c r="E68" i="1"/>
  <c r="E69" i="1"/>
  <c r="E70" i="1"/>
  <c r="E71" i="1"/>
  <c r="E72" i="1"/>
  <c r="E73" i="1"/>
  <c r="E74" i="1"/>
  <c r="E67" i="1"/>
</calcChain>
</file>

<file path=xl/sharedStrings.xml><?xml version="1.0" encoding="utf-8"?>
<sst xmlns="http://schemas.openxmlformats.org/spreadsheetml/2006/main" count="827" uniqueCount="95">
  <si>
    <t>Chicken Biscuit</t>
  </si>
  <si>
    <t>flour</t>
  </si>
  <si>
    <t>baking powder</t>
  </si>
  <si>
    <t>salt</t>
  </si>
  <si>
    <t>butter</t>
  </si>
  <si>
    <t>buttermilk</t>
  </si>
  <si>
    <t>Item</t>
  </si>
  <si>
    <t>component</t>
  </si>
  <si>
    <t>biscuit</t>
  </si>
  <si>
    <t>ingredient</t>
  </si>
  <si>
    <t>chicken breast</t>
  </si>
  <si>
    <t>dill pickle juice</t>
  </si>
  <si>
    <t>egg</t>
  </si>
  <si>
    <t>powdered sugar</t>
  </si>
  <si>
    <t>paprika</t>
  </si>
  <si>
    <t>black pepper</t>
  </si>
  <si>
    <t>frying oil</t>
  </si>
  <si>
    <t>biscuits n chicken gravy</t>
  </si>
  <si>
    <t>chicken drippings</t>
  </si>
  <si>
    <t>whole milk</t>
  </si>
  <si>
    <t>chicken boullion</t>
  </si>
  <si>
    <t>chicken gravy</t>
  </si>
  <si>
    <t>chicken sandwich</t>
  </si>
  <si>
    <t>fried chicken cutlet</t>
  </si>
  <si>
    <t>sandwich bun</t>
  </si>
  <si>
    <t>dill pickle chips</t>
  </si>
  <si>
    <t>dill pickles</t>
  </si>
  <si>
    <t>sandwich buns</t>
  </si>
  <si>
    <t>chicken n dumplings</t>
  </si>
  <si>
    <t>chicken broth</t>
  </si>
  <si>
    <t>celery</t>
  </si>
  <si>
    <t>yellow onion</t>
  </si>
  <si>
    <t>dumplings</t>
  </si>
  <si>
    <t>carrot</t>
  </si>
  <si>
    <t>pepper</t>
  </si>
  <si>
    <t>4 pc Tenders</t>
  </si>
  <si>
    <t>fried chicken tenderloins</t>
  </si>
  <si>
    <t>family combo</t>
  </si>
  <si>
    <t>rotisserie chicken</t>
  </si>
  <si>
    <t>whole chicken</t>
  </si>
  <si>
    <t>olive oil</t>
  </si>
  <si>
    <t>garlic salt</t>
  </si>
  <si>
    <t>parsley</t>
  </si>
  <si>
    <t>rosemary</t>
  </si>
  <si>
    <t>category</t>
  </si>
  <si>
    <t>entrée</t>
  </si>
  <si>
    <t>side</t>
  </si>
  <si>
    <t>wedges</t>
  </si>
  <si>
    <t>potato wedges</t>
  </si>
  <si>
    <t>potatoes</t>
  </si>
  <si>
    <t>cornstarch</t>
  </si>
  <si>
    <t>seasoned salt</t>
  </si>
  <si>
    <t>biscuits</t>
  </si>
  <si>
    <t>drink</t>
  </si>
  <si>
    <t>soda</t>
  </si>
  <si>
    <t>soda (can)</t>
  </si>
  <si>
    <t>ice</t>
  </si>
  <si>
    <t>water</t>
  </si>
  <si>
    <t>water (bottle)</t>
  </si>
  <si>
    <t>dumpling broth</t>
  </si>
  <si>
    <t>sweet tea</t>
  </si>
  <si>
    <t>sweet tea (bottle)</t>
  </si>
  <si>
    <t>peach tea</t>
  </si>
  <si>
    <t>peach monster</t>
  </si>
  <si>
    <t>loaded peach tea slushie</t>
  </si>
  <si>
    <t>specialty drink</t>
  </si>
  <si>
    <t>loaded peach tea</t>
  </si>
  <si>
    <t>loaded sweet tea</t>
  </si>
  <si>
    <t>loaded sweet tea slushie</t>
  </si>
  <si>
    <t>monster</t>
  </si>
  <si>
    <t>watermelon slushie</t>
  </si>
  <si>
    <t>watermelon</t>
  </si>
  <si>
    <t>amount per portion</t>
  </si>
  <si>
    <t>tbsp</t>
  </si>
  <si>
    <t>cup</t>
  </si>
  <si>
    <t>amount per batch</t>
  </si>
  <si>
    <t>batch unit</t>
  </si>
  <si>
    <t>batch yield</t>
  </si>
  <si>
    <t>lb</t>
  </si>
  <si>
    <t>oz</t>
  </si>
  <si>
    <t>franks red hot</t>
  </si>
  <si>
    <t>tsp</t>
  </si>
  <si>
    <t>gallon jar</t>
  </si>
  <si>
    <t>potato</t>
  </si>
  <si>
    <t>portion unit</t>
  </si>
  <si>
    <t>can</t>
  </si>
  <si>
    <t>bottle</t>
  </si>
  <si>
    <t>Row Labels</t>
  </si>
  <si>
    <t>Grand Total</t>
  </si>
  <si>
    <t>Count of ingredient</t>
  </si>
  <si>
    <t>portion yield</t>
  </si>
  <si>
    <t>portion yield unit</t>
  </si>
  <si>
    <t>chicken cutlet</t>
  </si>
  <si>
    <t>cup chicken gravy</t>
  </si>
  <si>
    <t>1/8lb chicken tenders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</si>
</sst>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2.596749421296" createdVersion="8" refreshedVersion="8" minRefreshableVersion="3" recordCount="128" xr:uid="{A4261CFD-DBCB-4E38-ACFE-0D97BEA55E19}">
  <cacheSource type="worksheet">
    <worksheetSource ref="A1:K124" sheet="menu_recipe_breakdown"/>
  </cacheSource>
  <cacheFields count="9">
    <cacheField name="category" numFmtId="0">
      <sharedItems/>
    </cacheField>
    <cacheField name="Item" numFmtId="0">
      <sharedItems/>
    </cacheField>
    <cacheField name="component" numFmtId="0">
      <sharedItems/>
    </cacheField>
    <cacheField name="ingredient" numFmtId="0">
      <sharedItems count="40">
        <s v="flour"/>
        <s v="baking powder"/>
        <s v="salt"/>
        <s v="butter"/>
        <s v="buttermilk"/>
        <s v="chicken breast"/>
        <s v="dill pickle juice"/>
        <s v="egg"/>
        <s v="whole milk"/>
        <s v="franks red hot"/>
        <s v="powdered sugar"/>
        <s v="paprika"/>
        <s v="black pepper"/>
        <s v="garlic salt"/>
        <s v="frying oil"/>
        <s v="chicken drippings"/>
        <s v="chicken boullion"/>
        <s v="sandwich buns"/>
        <s v="dill pickles"/>
        <s v="chicken broth"/>
        <s v="pepper"/>
        <s v="carrot"/>
        <s v="celery"/>
        <s v="yellow onion"/>
        <s v="whole chicken"/>
        <s v="olive oil"/>
        <s v="parsley"/>
        <s v="rosemary"/>
        <s v="potatoes"/>
        <s v="cornstarch"/>
        <s v="seasoned salt"/>
        <s v="soda (can)"/>
        <s v="ice"/>
        <s v="water (bottle)"/>
        <s v="sweet tea (bottle)"/>
        <s v="peach tea"/>
        <s v="peach monster"/>
        <s v="sweet tea"/>
        <s v="monster"/>
        <s v="watermelon"/>
      </sharedItems>
    </cacheField>
    <cacheField name="amount per portion" numFmtId="2">
      <sharedItems containsString="0" containsBlank="1" containsNumber="1" minValue="8.8999999999999999E-3" maxValue="4"/>
    </cacheField>
    <cacheField name="portion unit" numFmtId="0">
      <sharedItems containsBlank="1"/>
    </cacheField>
    <cacheField name="amount per batch" numFmtId="2">
      <sharedItems containsString="0" containsBlank="1" containsNumber="1" minValue="0.25" maxValue="40"/>
    </cacheField>
    <cacheField name="batch unit" numFmtId="0">
      <sharedItems containsBlank="1"/>
    </cacheField>
    <cacheField name="batch yield" numFmtId="0">
      <sharedItems containsString="0" containsBlank="1" containsNumber="1" minValue="0.5" maxValue="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8">
  <r>
    <s v="entrée"/>
    <s v="Chicken Biscuit"/>
    <s v="biscuit"/>
    <x v="0"/>
    <n v="0.25"/>
    <s v="cup"/>
    <n v="2"/>
    <s v="cup"/>
    <n v="8"/>
  </r>
  <r>
    <s v="entrée"/>
    <s v="Chicken Biscuit"/>
    <s v="biscuit"/>
    <x v="1"/>
    <n v="0.125"/>
    <s v="tbsp"/>
    <n v="1"/>
    <s v="tbsp"/>
    <n v="8"/>
  </r>
  <r>
    <s v="entrée"/>
    <s v="Chicken Biscuit"/>
    <s v="biscuit"/>
    <x v="2"/>
    <n v="0.125"/>
    <s v="tbsp"/>
    <n v="1"/>
    <s v="tbsp"/>
    <n v="8"/>
  </r>
  <r>
    <s v="entrée"/>
    <s v="Chicken Biscuit"/>
    <s v="biscuit"/>
    <x v="3"/>
    <n v="1"/>
    <s v="tbsp"/>
    <n v="0.5"/>
    <s v="cup"/>
    <n v="8"/>
  </r>
  <r>
    <s v="entrée"/>
    <s v="Chicken Biscuit"/>
    <s v="biscuit"/>
    <x v="4"/>
    <n v="0.125"/>
    <s v="cup"/>
    <n v="1"/>
    <s v="cup"/>
    <n v="8"/>
  </r>
  <r>
    <s v="entrée"/>
    <s v="Chicken Biscuit"/>
    <s v="fried chicken cutlet"/>
    <x v="5"/>
    <n v="0.5"/>
    <s v="lb"/>
    <n v="2"/>
    <s v="lb"/>
    <n v="4"/>
  </r>
  <r>
    <s v="entrée"/>
    <s v="Chicken Biscuit"/>
    <s v="fried chicken cutlet"/>
    <x v="6"/>
    <n v="0.25"/>
    <s v="cup"/>
    <n v="1"/>
    <s v="cup"/>
    <n v="4"/>
  </r>
  <r>
    <s v="entrée"/>
    <s v="Chicken Biscuit"/>
    <s v="fried chicken cutlet"/>
    <x v="7"/>
    <n v="0.25"/>
    <s v="egg"/>
    <n v="1"/>
    <s v="egg"/>
    <n v="4"/>
  </r>
  <r>
    <s v="entrée"/>
    <s v="Chicken Biscuit"/>
    <s v="fried chicken cutlet"/>
    <x v="8"/>
    <n v="0.125"/>
    <s v="cup"/>
    <n v="0.5"/>
    <s v="cup"/>
    <n v="4"/>
  </r>
  <r>
    <s v="entrée"/>
    <s v="Chicken Biscuit"/>
    <s v="fried chicken cutlet"/>
    <x v="9"/>
    <n v="0.25"/>
    <s v="tbsp"/>
    <n v="1"/>
    <s v="tbsp"/>
    <n v="4"/>
  </r>
  <r>
    <s v="entrée"/>
    <s v="Chicken Biscuit"/>
    <s v="fried chicken cutlet"/>
    <x v="10"/>
    <n v="0.5"/>
    <s v="tbsp"/>
    <n v="2"/>
    <s v="tbsp"/>
    <n v="4"/>
  </r>
  <r>
    <s v="entrée"/>
    <s v="Chicken Biscuit"/>
    <s v="fried chicken cutlet"/>
    <x v="11"/>
    <n v="0.25"/>
    <s v="tbsp"/>
    <n v="1"/>
    <s v="tbsp"/>
    <n v="4"/>
  </r>
  <r>
    <s v="entrée"/>
    <s v="Chicken Biscuit"/>
    <s v="fried chicken cutlet"/>
    <x v="2"/>
    <n v="0.25"/>
    <s v="tbsp"/>
    <n v="1"/>
    <s v="tbsp"/>
    <n v="4"/>
  </r>
  <r>
    <s v="entrée"/>
    <s v="Chicken Biscuit"/>
    <s v="fried chicken cutlet"/>
    <x v="12"/>
    <n v="0.25"/>
    <s v="tbsp"/>
    <n v="1"/>
    <s v="tbsp"/>
    <n v="4"/>
  </r>
  <r>
    <s v="entrée"/>
    <s v="Chicken Biscuit"/>
    <s v="fried chicken cutlet"/>
    <x v="13"/>
    <n v="0.25"/>
    <s v="tbsp"/>
    <n v="1"/>
    <s v="tbsp"/>
    <n v="4"/>
  </r>
  <r>
    <s v="entrée"/>
    <s v="Chicken Biscuit"/>
    <s v="fried chicken cutlet"/>
    <x v="14"/>
    <m/>
    <m/>
    <m/>
    <m/>
    <m/>
  </r>
  <r>
    <s v="entrée"/>
    <s v="biscuits n chicken gravy"/>
    <s v="biscuit"/>
    <x v="0"/>
    <n v="0.25"/>
    <s v="cup"/>
    <n v="2"/>
    <s v="cup"/>
    <n v="8"/>
  </r>
  <r>
    <s v="entrée"/>
    <s v="biscuits n chicken gravy"/>
    <s v="biscuit"/>
    <x v="1"/>
    <n v="0.125"/>
    <s v="tbsp"/>
    <n v="1"/>
    <s v="tbsp"/>
    <n v="8"/>
  </r>
  <r>
    <s v="entrée"/>
    <s v="biscuits n chicken gravy"/>
    <s v="biscuit"/>
    <x v="2"/>
    <n v="0.125"/>
    <s v="tbsp"/>
    <n v="1"/>
    <s v="tbsp"/>
    <n v="8"/>
  </r>
  <r>
    <s v="entrée"/>
    <s v="biscuits n chicken gravy"/>
    <s v="biscuit"/>
    <x v="3"/>
    <n v="1"/>
    <s v="tbsp"/>
    <n v="0.5"/>
    <s v="cup"/>
    <n v="8"/>
  </r>
  <r>
    <s v="entrée"/>
    <s v="biscuits n chicken gravy"/>
    <s v="biscuit"/>
    <x v="4"/>
    <n v="0.125"/>
    <s v="cup"/>
    <n v="1"/>
    <s v="cup"/>
    <n v="8"/>
  </r>
  <r>
    <s v="entrée"/>
    <s v="biscuits n chicken gravy"/>
    <s v="chicken gravy"/>
    <x v="15"/>
    <n v="2"/>
    <s v="tbsp"/>
    <n v="2"/>
    <s v="tbsp"/>
    <n v="2"/>
  </r>
  <r>
    <s v="entrée"/>
    <s v="biscuits n chicken gravy"/>
    <s v="chicken gravy"/>
    <x v="3"/>
    <n v="2"/>
    <s v="tbsp"/>
    <n v="2"/>
    <s v="tbsp"/>
    <n v="2"/>
  </r>
  <r>
    <s v="entrée"/>
    <s v="biscuits n chicken gravy"/>
    <s v="chicken gravy"/>
    <x v="0"/>
    <n v="0.25"/>
    <s v="cup"/>
    <n v="0.25"/>
    <s v="cup"/>
    <n v="2"/>
  </r>
  <r>
    <s v="entrée"/>
    <s v="biscuits n chicken gravy"/>
    <s v="chicken gravy"/>
    <x v="8"/>
    <n v="2"/>
    <s v="cup"/>
    <n v="2"/>
    <s v="cup"/>
    <n v="2"/>
  </r>
  <r>
    <s v="entrée"/>
    <s v="biscuits n chicken gravy"/>
    <s v="chicken gravy"/>
    <x v="2"/>
    <n v="1"/>
    <s v="tbsp"/>
    <n v="1"/>
    <s v="tbsp"/>
    <n v="2"/>
  </r>
  <r>
    <s v="entrée"/>
    <s v="biscuits n chicken gravy"/>
    <s v="chicken gravy"/>
    <x v="12"/>
    <n v="1"/>
    <s v="tbsp"/>
    <n v="1"/>
    <s v="tbsp"/>
    <n v="2"/>
  </r>
  <r>
    <s v="entrée"/>
    <s v="biscuits n chicken gravy"/>
    <s v="chicken gravy"/>
    <x v="16"/>
    <n v="1"/>
    <s v="tsp"/>
    <n v="1"/>
    <s v="tsp"/>
    <n v="2"/>
  </r>
  <r>
    <s v="entrée"/>
    <s v="biscuits n chicken gravy"/>
    <s v="biscuit"/>
    <x v="0"/>
    <n v="0.5"/>
    <s v="cup"/>
    <n v="2"/>
    <s v="cup"/>
    <n v="8"/>
  </r>
  <r>
    <s v="entrée"/>
    <s v="biscuits n chicken gravy"/>
    <s v="biscuit"/>
    <x v="1"/>
    <n v="0.25"/>
    <s v="tbsp"/>
    <n v="1"/>
    <s v="tbsp"/>
    <n v="8"/>
  </r>
  <r>
    <s v="entrée"/>
    <s v="biscuits n chicken gravy"/>
    <s v="biscuit"/>
    <x v="2"/>
    <n v="0.25"/>
    <s v="tbsp"/>
    <n v="1"/>
    <s v="tbsp"/>
    <n v="8"/>
  </r>
  <r>
    <s v="entrée"/>
    <s v="biscuits n chicken gravy"/>
    <s v="biscuit"/>
    <x v="3"/>
    <n v="2"/>
    <s v="tbsp"/>
    <n v="0.5"/>
    <s v="cup"/>
    <n v="8"/>
  </r>
  <r>
    <s v="entrée"/>
    <s v="biscuits n chicken gravy"/>
    <s v="biscuit"/>
    <x v="4"/>
    <n v="0.25"/>
    <s v="cup"/>
    <n v="1"/>
    <s v="cup"/>
    <n v="8"/>
  </r>
  <r>
    <s v="entrée"/>
    <s v="4 pc Tenders"/>
    <s v="fried chicken tenderloins"/>
    <x v="5"/>
    <n v="0.5"/>
    <s v="lb"/>
    <n v="2"/>
    <s v="lb"/>
    <n v="4"/>
  </r>
  <r>
    <s v="entrée"/>
    <s v="4 pc Tenders"/>
    <s v="fried chicken tenderloins"/>
    <x v="6"/>
    <n v="0.25"/>
    <s v="cup"/>
    <n v="1"/>
    <s v="cup"/>
    <n v="4"/>
  </r>
  <r>
    <s v="entrée"/>
    <s v="4 pc Tenders"/>
    <s v="fried chicken tenderloins"/>
    <x v="7"/>
    <n v="0.25"/>
    <s v="egg"/>
    <n v="1"/>
    <s v="egg"/>
    <n v="4"/>
  </r>
  <r>
    <s v="entrée"/>
    <s v="4 pc Tenders"/>
    <s v="fried chicken tenderloins"/>
    <x v="8"/>
    <n v="0.125"/>
    <s v="cup"/>
    <n v="0.5"/>
    <s v="cup"/>
    <n v="4"/>
  </r>
  <r>
    <s v="entrée"/>
    <s v="4 pc Tenders"/>
    <s v="fried chicken tenderloins"/>
    <x v="9"/>
    <n v="0.25"/>
    <s v="tbsp"/>
    <n v="1"/>
    <s v="tbsp"/>
    <n v="4"/>
  </r>
  <r>
    <s v="entrée"/>
    <s v="4 pc Tenders"/>
    <s v="fried chicken tenderloins"/>
    <x v="10"/>
    <n v="0.5"/>
    <s v="tbsp"/>
    <n v="2"/>
    <s v="tbsp"/>
    <n v="4"/>
  </r>
  <r>
    <s v="entrée"/>
    <s v="4 pc Tenders"/>
    <s v="fried chicken tenderloins"/>
    <x v="11"/>
    <n v="0.25"/>
    <s v="tbsp"/>
    <n v="1"/>
    <s v="tbsp"/>
    <n v="4"/>
  </r>
  <r>
    <s v="entrée"/>
    <s v="4 pc Tenders"/>
    <s v="fried chicken tenderloins"/>
    <x v="2"/>
    <n v="0.25"/>
    <s v="tbsp"/>
    <n v="1"/>
    <s v="tbsp"/>
    <n v="4"/>
  </r>
  <r>
    <s v="entrée"/>
    <s v="4 pc Tenders"/>
    <s v="fried chicken tenderloins"/>
    <x v="12"/>
    <n v="0.25"/>
    <s v="tbsp"/>
    <n v="1"/>
    <s v="tbsp"/>
    <n v="4"/>
  </r>
  <r>
    <s v="entrée"/>
    <s v="4 pc Tenders"/>
    <s v="fried chicken tenderloins"/>
    <x v="13"/>
    <n v="0.25"/>
    <s v="tbsp"/>
    <n v="1"/>
    <s v="tbsp"/>
    <n v="4"/>
  </r>
  <r>
    <s v="entrée"/>
    <s v="4 pc Tenders"/>
    <s v="fried chicken tenderloins"/>
    <x v="14"/>
    <m/>
    <m/>
    <m/>
    <m/>
    <m/>
  </r>
  <r>
    <s v="entrée"/>
    <s v="chicken sandwich"/>
    <s v="fried chicken cutlet"/>
    <x v="5"/>
    <n v="0.5"/>
    <s v="lb"/>
    <n v="2"/>
    <s v="lb"/>
    <n v="4"/>
  </r>
  <r>
    <s v="entrée"/>
    <s v="chicken sandwich"/>
    <s v="fried chicken cutlet"/>
    <x v="6"/>
    <n v="0.25"/>
    <s v="cup"/>
    <n v="1"/>
    <s v="cup"/>
    <n v="4"/>
  </r>
  <r>
    <s v="entrée"/>
    <s v="chicken sandwich"/>
    <s v="fried chicken cutlet"/>
    <x v="7"/>
    <n v="0.25"/>
    <s v="egg"/>
    <n v="1"/>
    <s v="egg"/>
    <n v="4"/>
  </r>
  <r>
    <s v="entrée"/>
    <s v="chicken sandwich"/>
    <s v="fried chicken cutlet"/>
    <x v="8"/>
    <n v="0.125"/>
    <s v="cup"/>
    <n v="0.5"/>
    <s v="cup"/>
    <n v="4"/>
  </r>
  <r>
    <s v="entrée"/>
    <s v="chicken sandwich"/>
    <s v="fried chicken cutlet"/>
    <x v="9"/>
    <n v="0.25"/>
    <s v="tbsp"/>
    <n v="1"/>
    <s v="tbsp"/>
    <n v="4"/>
  </r>
  <r>
    <s v="entrée"/>
    <s v="chicken sandwich"/>
    <s v="fried chicken cutlet"/>
    <x v="10"/>
    <n v="0.5"/>
    <s v="tbsp"/>
    <n v="2"/>
    <s v="tbsp"/>
    <n v="4"/>
  </r>
  <r>
    <s v="entrée"/>
    <s v="chicken sandwich"/>
    <s v="fried chicken cutlet"/>
    <x v="11"/>
    <n v="0.25"/>
    <s v="tbsp"/>
    <n v="1"/>
    <s v="tbsp"/>
    <n v="4"/>
  </r>
  <r>
    <s v="entrée"/>
    <s v="chicken sandwich"/>
    <s v="fried chicken cutlet"/>
    <x v="2"/>
    <n v="0.25"/>
    <s v="tbsp"/>
    <n v="1"/>
    <s v="tbsp"/>
    <n v="4"/>
  </r>
  <r>
    <s v="entrée"/>
    <s v="chicken sandwich"/>
    <s v="fried chicken cutlet"/>
    <x v="12"/>
    <n v="0.25"/>
    <s v="tbsp"/>
    <n v="1"/>
    <s v="tbsp"/>
    <n v="4"/>
  </r>
  <r>
    <s v="entrée"/>
    <s v="chicken sandwich"/>
    <s v="fried chicken cutlet"/>
    <x v="13"/>
    <n v="0.25"/>
    <s v="tbsp"/>
    <n v="1"/>
    <s v="tbsp"/>
    <n v="4"/>
  </r>
  <r>
    <s v="entrée"/>
    <s v="chicken sandwich"/>
    <s v="fried chicken cutlet"/>
    <x v="14"/>
    <m/>
    <m/>
    <m/>
    <m/>
    <m/>
  </r>
  <r>
    <s v="entrée"/>
    <s v="chicken sandwich"/>
    <s v="sandwich bun"/>
    <x v="17"/>
    <n v="1"/>
    <s v="sandwich bun"/>
    <n v="4"/>
    <s v="sandwich bun"/>
    <n v="4"/>
  </r>
  <r>
    <s v="entrée"/>
    <s v="chicken sandwich"/>
    <s v="sandwich bun"/>
    <x v="3"/>
    <n v="0.5"/>
    <s v="tbsp"/>
    <n v="2"/>
    <s v="tbsp"/>
    <n v="4"/>
  </r>
  <r>
    <s v="entrée"/>
    <s v="chicken sandwich"/>
    <s v="dill pickle chips"/>
    <x v="18"/>
    <n v="8.8999999999999999E-3"/>
    <s v="gallon jar"/>
    <n v="0.35"/>
    <s v="gallon jar"/>
    <n v="4"/>
  </r>
  <r>
    <s v="entrée"/>
    <s v="chicken n dumplings"/>
    <s v="dumpling broth"/>
    <x v="19"/>
    <n v="4"/>
    <s v="cup"/>
    <n v="8"/>
    <s v="cup"/>
    <n v="4"/>
  </r>
  <r>
    <s v="entrée"/>
    <s v="chicken n dumplings"/>
    <s v="dumpling broth"/>
    <x v="2"/>
    <n v="0.25"/>
    <s v="tbsp"/>
    <n v="1"/>
    <s v="tbsp"/>
    <n v="4"/>
  </r>
  <r>
    <s v="entrée"/>
    <s v="chicken n dumplings"/>
    <s v="dumpling broth"/>
    <x v="20"/>
    <n v="0.25"/>
    <s v="tbsp"/>
    <n v="1"/>
    <s v="tbsp"/>
    <n v="4"/>
  </r>
  <r>
    <s v="entrée"/>
    <s v="chicken n dumplings"/>
    <s v="dumpling broth"/>
    <x v="5"/>
    <n v="0.25"/>
    <s v="lb"/>
    <n v="1"/>
    <s v="lb"/>
    <n v="4"/>
  </r>
  <r>
    <s v="entrée"/>
    <s v="chicken n dumplings"/>
    <s v="dumpling broth"/>
    <x v="21"/>
    <n v="1.25"/>
    <s v="oz"/>
    <n v="5"/>
    <s v="oz"/>
    <n v="4"/>
  </r>
  <r>
    <s v="entrée"/>
    <s v="chicken n dumplings"/>
    <s v="dumpling broth"/>
    <x v="22"/>
    <n v="1.25"/>
    <s v="oz"/>
    <n v="5"/>
    <s v="oz"/>
    <n v="4"/>
  </r>
  <r>
    <s v="entrée"/>
    <s v="chicken n dumplings"/>
    <s v="dumpling broth"/>
    <x v="23"/>
    <n v="0.5"/>
    <s v="oz"/>
    <n v="2"/>
    <s v="oz"/>
    <n v="4"/>
  </r>
  <r>
    <s v="entrée"/>
    <s v="chicken n dumplings"/>
    <s v="dumplings"/>
    <x v="0"/>
    <n v="0.5"/>
    <s v="cup"/>
    <n v="2"/>
    <s v="cup"/>
    <n v="8"/>
  </r>
  <r>
    <s v="entrée"/>
    <s v="chicken n dumplings"/>
    <s v="dumplings"/>
    <x v="1"/>
    <n v="0.25"/>
    <s v="tbsp"/>
    <n v="1"/>
    <s v="tbsp"/>
    <n v="8"/>
  </r>
  <r>
    <s v="entrée"/>
    <s v="chicken n dumplings"/>
    <s v="dumplings"/>
    <x v="2"/>
    <n v="0.25"/>
    <s v="tbsp"/>
    <n v="1"/>
    <s v="tbsp"/>
    <n v="8"/>
  </r>
  <r>
    <s v="entrée"/>
    <s v="chicken n dumplings"/>
    <s v="dumplings"/>
    <x v="3"/>
    <n v="2"/>
    <s v="tbsp"/>
    <n v="0.5"/>
    <s v="cup"/>
    <n v="8"/>
  </r>
  <r>
    <s v="entrée"/>
    <s v="chicken n dumplings"/>
    <s v="dumplings"/>
    <x v="4"/>
    <n v="0.25"/>
    <s v="cup"/>
    <n v="1"/>
    <s v="cup"/>
    <n v="8"/>
  </r>
  <r>
    <s v="entrée"/>
    <s v="family combo"/>
    <s v="rotisserie chicken"/>
    <x v="24"/>
    <n v="2.25"/>
    <s v="lb"/>
    <n v="4.5"/>
    <s v="lb"/>
    <n v="2"/>
  </r>
  <r>
    <s v="entrée"/>
    <s v="family combo"/>
    <s v="rotisserie chicken"/>
    <x v="25"/>
    <n v="1.5"/>
    <s v="tbsp"/>
    <n v="3"/>
    <s v="tbsp"/>
    <n v="2"/>
  </r>
  <r>
    <s v="entrée"/>
    <s v="family combo"/>
    <s v="rotisserie chicken"/>
    <x v="2"/>
    <n v="1"/>
    <s v="tbsp"/>
    <n v="2"/>
    <s v="tbsp"/>
    <n v="2"/>
  </r>
  <r>
    <s v="entrée"/>
    <s v="family combo"/>
    <s v="rotisserie chicken"/>
    <x v="20"/>
    <n v="1"/>
    <s v="tbsp"/>
    <n v="2"/>
    <s v="tbsp"/>
    <n v="2"/>
  </r>
  <r>
    <s v="entrée"/>
    <s v="family combo"/>
    <s v="rotisserie chicken"/>
    <x v="13"/>
    <n v="1"/>
    <s v="tbsp"/>
    <n v="2"/>
    <s v="tbsp"/>
    <n v="2"/>
  </r>
  <r>
    <s v="entrée"/>
    <s v="family combo"/>
    <s v="rotisserie chicken"/>
    <x v="26"/>
    <n v="1"/>
    <s v="tbsp"/>
    <n v="2"/>
    <s v="tbsp"/>
    <n v="2"/>
  </r>
  <r>
    <s v="entrée"/>
    <s v="family combo"/>
    <s v="rotisserie chicken"/>
    <x v="27"/>
    <n v="1"/>
    <s v="tbsp"/>
    <n v="2"/>
    <s v="tbsp"/>
    <n v="2"/>
  </r>
  <r>
    <s v="entrée"/>
    <s v="family combo"/>
    <s v="rotisserie chicken"/>
    <x v="3"/>
    <n v="1.5"/>
    <s v="tbsp"/>
    <n v="3"/>
    <s v="tbsp"/>
    <n v="2"/>
  </r>
  <r>
    <s v="entrée"/>
    <s v="family combo"/>
    <s v="dumpling broth"/>
    <x v="19"/>
    <n v="4"/>
    <s v="cup"/>
    <n v="8"/>
    <s v="cup"/>
    <n v="4"/>
  </r>
  <r>
    <s v="entrée"/>
    <s v="family combo"/>
    <s v="dumpling broth"/>
    <x v="2"/>
    <n v="0.25"/>
    <s v="tbsp"/>
    <n v="1"/>
    <s v="tbsp"/>
    <n v="4"/>
  </r>
  <r>
    <s v="entrée"/>
    <s v="family combo"/>
    <s v="dumpling broth"/>
    <x v="20"/>
    <n v="0.25"/>
    <s v="tbsp"/>
    <n v="1"/>
    <s v="tbsp"/>
    <n v="4"/>
  </r>
  <r>
    <s v="entrée"/>
    <s v="family combo"/>
    <s v="dumpling broth"/>
    <x v="5"/>
    <n v="0.25"/>
    <s v="lb"/>
    <n v="1"/>
    <s v="lb"/>
    <n v="4"/>
  </r>
  <r>
    <s v="entrée"/>
    <s v="family combo"/>
    <s v="dumpling broth"/>
    <x v="21"/>
    <n v="1.25"/>
    <s v="oz"/>
    <n v="5"/>
    <s v="oz"/>
    <n v="4"/>
  </r>
  <r>
    <s v="entrée"/>
    <s v="family combo"/>
    <s v="dumpling broth"/>
    <x v="22"/>
    <n v="1.25"/>
    <s v="oz"/>
    <n v="5"/>
    <s v="oz"/>
    <n v="4"/>
  </r>
  <r>
    <s v="entrée"/>
    <s v="family combo"/>
    <s v="dumpling broth"/>
    <x v="23"/>
    <n v="0.5"/>
    <s v="oz"/>
    <n v="2"/>
    <s v="oz"/>
    <n v="4"/>
  </r>
  <r>
    <s v="entrée"/>
    <s v="family combo"/>
    <s v="dumplings"/>
    <x v="0"/>
    <n v="0.5"/>
    <s v="cup"/>
    <n v="2"/>
    <s v="cup"/>
    <n v="8"/>
  </r>
  <r>
    <s v="entrée"/>
    <s v="family combo"/>
    <s v="dumplings"/>
    <x v="1"/>
    <n v="0.25"/>
    <s v="tbsp"/>
    <n v="1"/>
    <s v="tbsp"/>
    <n v="8"/>
  </r>
  <r>
    <s v="entrée"/>
    <s v="family combo"/>
    <s v="dumplings"/>
    <x v="2"/>
    <n v="0.25"/>
    <s v="tbsp"/>
    <n v="1"/>
    <s v="tbsp"/>
    <n v="8"/>
  </r>
  <r>
    <s v="entrée"/>
    <s v="family combo"/>
    <s v="dumplings"/>
    <x v="3"/>
    <n v="2"/>
    <s v="tbsp"/>
    <n v="0.5"/>
    <s v="cup"/>
    <n v="8"/>
  </r>
  <r>
    <s v="entrée"/>
    <s v="family combo"/>
    <s v="dumplings"/>
    <x v="4"/>
    <n v="0.25"/>
    <s v="cup"/>
    <n v="1"/>
    <s v="cup"/>
    <n v="8"/>
  </r>
  <r>
    <s v="side"/>
    <s v="wedges"/>
    <s v="potato wedges"/>
    <x v="28"/>
    <n v="1"/>
    <s v="potato"/>
    <n v="4"/>
    <s v="potato"/>
    <n v="4"/>
  </r>
  <r>
    <s v="side"/>
    <s v="wedges"/>
    <s v="potato wedges"/>
    <x v="8"/>
    <n v="0.25"/>
    <s v="cup"/>
    <n v="1"/>
    <s v="cup"/>
    <n v="4"/>
  </r>
  <r>
    <s v="side"/>
    <s v="wedges"/>
    <s v="potato wedges"/>
    <x v="7"/>
    <n v="0.25"/>
    <s v="egg"/>
    <n v="1"/>
    <s v="egg"/>
    <n v="4"/>
  </r>
  <r>
    <s v="side"/>
    <s v="wedges"/>
    <s v="potato wedges"/>
    <x v="0"/>
    <n v="0.25"/>
    <s v="cup"/>
    <n v="1"/>
    <s v="cup"/>
    <n v="4"/>
  </r>
  <r>
    <s v="side"/>
    <s v="wedges"/>
    <s v="potato wedges"/>
    <x v="29"/>
    <n v="0.5"/>
    <s v="tbsp"/>
    <n v="2"/>
    <s v="tbsp"/>
    <n v="4"/>
  </r>
  <r>
    <s v="side"/>
    <s v="wedges"/>
    <s v="potato wedges"/>
    <x v="30"/>
    <n v="0.25"/>
    <s v="tbsp"/>
    <n v="1"/>
    <s v="tbsp"/>
    <n v="4"/>
  </r>
  <r>
    <s v="side"/>
    <s v="wedges"/>
    <s v="potato wedges"/>
    <x v="12"/>
    <n v="0.25"/>
    <s v="tbsp"/>
    <n v="1"/>
    <s v="tbsp"/>
    <n v="4"/>
  </r>
  <r>
    <s v="side"/>
    <s v="wedges"/>
    <s v="potato wedges"/>
    <x v="13"/>
    <n v="0.25"/>
    <s v="tbsp"/>
    <n v="1"/>
    <s v="tbsp"/>
    <n v="4"/>
  </r>
  <r>
    <s v="side"/>
    <s v="wedges"/>
    <s v="potato wedges"/>
    <x v="11"/>
    <n v="0.25"/>
    <s v="tbsp"/>
    <n v="1"/>
    <s v="tbsp"/>
    <n v="4"/>
  </r>
  <r>
    <s v="side"/>
    <s v="wedges"/>
    <s v="potato wedges"/>
    <x v="26"/>
    <n v="0.25"/>
    <s v="tbsp"/>
    <n v="1"/>
    <s v="tbsp"/>
    <n v="4"/>
  </r>
  <r>
    <s v="side"/>
    <s v="wedges"/>
    <s v="potato wedges"/>
    <x v="14"/>
    <m/>
    <m/>
    <m/>
    <m/>
    <n v="4"/>
  </r>
  <r>
    <s v="side"/>
    <s v="chicken gravy"/>
    <s v="chicken gravy"/>
    <x v="15"/>
    <n v="1"/>
    <s v="tbsp"/>
    <n v="2"/>
    <s v="tbsp"/>
    <n v="2"/>
  </r>
  <r>
    <s v="side"/>
    <s v="chicken gravy"/>
    <s v="chicken gravy"/>
    <x v="3"/>
    <n v="1"/>
    <s v="tbsp"/>
    <n v="2"/>
    <s v="tbsp"/>
    <n v="2"/>
  </r>
  <r>
    <s v="side"/>
    <s v="chicken gravy"/>
    <s v="chicken gravy"/>
    <x v="0"/>
    <n v="0.125"/>
    <s v="cup"/>
    <n v="0.25"/>
    <s v="cup"/>
    <n v="2"/>
  </r>
  <r>
    <s v="side"/>
    <s v="chicken gravy"/>
    <s v="chicken gravy"/>
    <x v="8"/>
    <n v="1"/>
    <s v="cup"/>
    <n v="2"/>
    <s v="cup"/>
    <n v="2"/>
  </r>
  <r>
    <s v="side"/>
    <s v="chicken gravy"/>
    <s v="chicken gravy"/>
    <x v="2"/>
    <n v="0.5"/>
    <s v="tbsp"/>
    <n v="1"/>
    <s v="tbsp"/>
    <n v="2"/>
  </r>
  <r>
    <s v="side"/>
    <s v="chicken gravy"/>
    <s v="chicken gravy"/>
    <x v="12"/>
    <n v="0.5"/>
    <s v="tbsp"/>
    <n v="1"/>
    <s v="tbsp"/>
    <n v="2"/>
  </r>
  <r>
    <s v="side"/>
    <s v="chicken gravy"/>
    <s v="chicken gravy"/>
    <x v="16"/>
    <n v="0.5"/>
    <s v="tsp"/>
    <n v="1"/>
    <s v="tsp"/>
    <n v="2"/>
  </r>
  <r>
    <s v="side"/>
    <s v="biscuits"/>
    <s v="biscuit"/>
    <x v="0"/>
    <n v="0.25"/>
    <s v="cup"/>
    <n v="2"/>
    <s v="cup"/>
    <n v="8"/>
  </r>
  <r>
    <s v="side"/>
    <s v="biscuits"/>
    <s v="biscuit"/>
    <x v="1"/>
    <n v="0.125"/>
    <s v="tbsp"/>
    <n v="1"/>
    <s v="tbsp"/>
    <n v="8"/>
  </r>
  <r>
    <s v="side"/>
    <s v="biscuits"/>
    <s v="biscuit"/>
    <x v="2"/>
    <n v="0.125"/>
    <s v="tbsp"/>
    <n v="1"/>
    <s v="tbsp"/>
    <n v="8"/>
  </r>
  <r>
    <s v="side"/>
    <s v="biscuits"/>
    <s v="biscuit"/>
    <x v="3"/>
    <n v="1"/>
    <s v="tbsp"/>
    <n v="0.5"/>
    <s v="cup"/>
    <n v="8"/>
  </r>
  <r>
    <s v="side"/>
    <s v="biscuits"/>
    <s v="biscuit"/>
    <x v="4"/>
    <n v="0.125"/>
    <s v="cup"/>
    <n v="1"/>
    <s v="cup"/>
    <n v="8"/>
  </r>
  <r>
    <s v="drink"/>
    <s v="soda"/>
    <s v="soda"/>
    <x v="31"/>
    <n v="1"/>
    <s v="can"/>
    <n v="24"/>
    <s v="can"/>
    <n v="24"/>
  </r>
  <r>
    <s v="drink"/>
    <s v="soda"/>
    <s v="ice"/>
    <x v="32"/>
    <m/>
    <m/>
    <n v="20"/>
    <s v="lb"/>
    <n v="0.5"/>
  </r>
  <r>
    <s v="drink"/>
    <s v="water"/>
    <s v="water"/>
    <x v="33"/>
    <n v="1"/>
    <s v="bottle"/>
    <n v="40"/>
    <s v="bottle"/>
    <n v="40"/>
  </r>
  <r>
    <s v="drink"/>
    <s v="water"/>
    <s v="ice"/>
    <x v="32"/>
    <m/>
    <m/>
    <n v="20"/>
    <s v="lb"/>
    <n v="0.5"/>
  </r>
  <r>
    <s v="drink"/>
    <s v="sweet tea"/>
    <s v="sweet tea"/>
    <x v="34"/>
    <n v="1"/>
    <s v="bottle"/>
    <n v="12"/>
    <s v="bottle"/>
    <n v="12"/>
  </r>
  <r>
    <s v="drink"/>
    <s v="sweet tea"/>
    <s v="ice"/>
    <x v="32"/>
    <m/>
    <m/>
    <n v="20"/>
    <s v="lb"/>
    <n v="0.5"/>
  </r>
  <r>
    <s v="drink"/>
    <s v="specialty drink"/>
    <s v="loaded peach tea"/>
    <x v="35"/>
    <m/>
    <m/>
    <m/>
    <m/>
    <m/>
  </r>
  <r>
    <s v="drink"/>
    <s v="specialty drink"/>
    <s v="loaded peach tea"/>
    <x v="36"/>
    <m/>
    <m/>
    <m/>
    <m/>
    <m/>
  </r>
  <r>
    <s v="drink"/>
    <s v="specialty drink"/>
    <s v="loaded peach tea slushie"/>
    <x v="35"/>
    <m/>
    <m/>
    <m/>
    <m/>
    <m/>
  </r>
  <r>
    <s v="drink"/>
    <s v="specialty drink"/>
    <s v="loaded peach tea slushie"/>
    <x v="36"/>
    <m/>
    <m/>
    <m/>
    <m/>
    <m/>
  </r>
  <r>
    <s v="drink"/>
    <s v="specialty drink"/>
    <s v="loaded sweet tea"/>
    <x v="37"/>
    <m/>
    <m/>
    <m/>
    <m/>
    <m/>
  </r>
  <r>
    <s v="drink"/>
    <s v="specialty drink"/>
    <s v="loaded sweet tea"/>
    <x v="38"/>
    <m/>
    <m/>
    <m/>
    <m/>
    <m/>
  </r>
  <r>
    <s v="drink"/>
    <s v="specialty drink"/>
    <s v="loaded sweet tea slushie"/>
    <x v="37"/>
    <m/>
    <m/>
    <m/>
    <m/>
    <m/>
  </r>
  <r>
    <s v="drink"/>
    <s v="specialty drink"/>
    <s v="loaded sweet tea slushie"/>
    <x v="38"/>
    <m/>
    <m/>
    <m/>
    <m/>
    <m/>
  </r>
  <r>
    <s v="drink"/>
    <s v="specialty drink"/>
    <s v="watermelon slushie"/>
    <x v="39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F95AD8-988B-4BA6-967B-647273544768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>
  <location ref="A1:B42" firstHeaderRow="1" firstDataRow="1" firstDataCol="1"/>
  <pivotFields count="9">
    <pivotField showAll="0"/>
    <pivotField showAll="0"/>
    <pivotField showAll="0"/>
    <pivotField axis="axisRow" dataField="1" showAll="0">
      <items count="41">
        <item x="1"/>
        <item x="12"/>
        <item x="3"/>
        <item x="4"/>
        <item x="21"/>
        <item x="22"/>
        <item x="16"/>
        <item x="5"/>
        <item x="19"/>
        <item x="15"/>
        <item x="29"/>
        <item x="6"/>
        <item x="18"/>
        <item x="7"/>
        <item x="0"/>
        <item x="9"/>
        <item x="14"/>
        <item x="13"/>
        <item x="32"/>
        <item x="38"/>
        <item x="25"/>
        <item x="11"/>
        <item x="26"/>
        <item x="36"/>
        <item x="35"/>
        <item x="20"/>
        <item x="28"/>
        <item x="10"/>
        <item x="27"/>
        <item x="2"/>
        <item x="17"/>
        <item x="30"/>
        <item x="31"/>
        <item x="37"/>
        <item x="34"/>
        <item x="33"/>
        <item x="39"/>
        <item x="24"/>
        <item x="8"/>
        <item x="23"/>
        <item t="default"/>
      </items>
    </pivotField>
    <pivotField showAll="0"/>
    <pivotField showAll="0"/>
    <pivotField showAll="0"/>
    <pivotField showAll="0"/>
    <pivotField showAll="0"/>
  </pivotFields>
  <rowFields count="1">
    <field x="3"/>
  </rowFields>
  <rowItems count="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 t="grand">
      <x/>
    </i>
  </rowItems>
  <colItems count="1">
    <i/>
  </colItems>
  <dataFields count="1">
    <dataField name="Count of ingredient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16A3E-B7EA-410D-99AA-292A663E7477}">
  <dimension ref="A1:L124"/>
  <sheetViews>
    <sheetView tabSelected="1" workbookViewId="0">
      <selection sqref="A1:A1048576"/>
    </sheetView>
  </sheetViews>
  <sheetFormatPr defaultRowHeight="14.4" x14ac:dyDescent="0.3"/>
  <cols>
    <col min="2" max="2" width="18.21875" customWidth="1"/>
    <col min="3" max="3" width="21.5546875" customWidth="1"/>
    <col min="4" max="4" width="15.77734375" customWidth="1"/>
    <col min="5" max="5" width="18.44140625" style="1" customWidth="1"/>
    <col min="6" max="7" width="12.109375" customWidth="1"/>
    <col min="8" max="8" width="16.44140625" customWidth="1"/>
    <col min="9" max="9" width="17.21875" style="1" customWidth="1"/>
    <col min="10" max="10" width="13.77734375" customWidth="1"/>
    <col min="11" max="11" width="10.109375" customWidth="1"/>
  </cols>
  <sheetData>
    <row r="1" spans="1:12" x14ac:dyDescent="0.3">
      <c r="A1" t="s">
        <v>44</v>
      </c>
      <c r="B1" t="s">
        <v>6</v>
      </c>
      <c r="C1" t="s">
        <v>7</v>
      </c>
      <c r="D1" t="s">
        <v>9</v>
      </c>
      <c r="E1" s="1" t="s">
        <v>72</v>
      </c>
      <c r="F1" t="s">
        <v>84</v>
      </c>
      <c r="G1" t="s">
        <v>90</v>
      </c>
      <c r="H1" t="s">
        <v>91</v>
      </c>
      <c r="I1" s="1" t="s">
        <v>75</v>
      </c>
      <c r="J1" t="s">
        <v>76</v>
      </c>
      <c r="K1" t="s">
        <v>77</v>
      </c>
    </row>
    <row r="2" spans="1:12" x14ac:dyDescent="0.3">
      <c r="A2" t="s">
        <v>45</v>
      </c>
      <c r="B2" t="s">
        <v>0</v>
      </c>
      <c r="C2" t="s">
        <v>8</v>
      </c>
      <c r="D2" t="s">
        <v>1</v>
      </c>
      <c r="E2" s="1">
        <v>0.25</v>
      </c>
      <c r="F2" t="s">
        <v>74</v>
      </c>
      <c r="G2">
        <v>1</v>
      </c>
      <c r="H2" t="s">
        <v>8</v>
      </c>
      <c r="I2" s="1">
        <v>2</v>
      </c>
      <c r="J2" t="s">
        <v>74</v>
      </c>
      <c r="K2">
        <v>8</v>
      </c>
      <c r="L2" t="s">
        <v>8</v>
      </c>
    </row>
    <row r="3" spans="1:12" x14ac:dyDescent="0.3">
      <c r="A3" t="s">
        <v>45</v>
      </c>
      <c r="B3" t="s">
        <v>0</v>
      </c>
      <c r="C3" t="s">
        <v>8</v>
      </c>
      <c r="D3" t="s">
        <v>2</v>
      </c>
      <c r="E3" s="1">
        <v>0.125</v>
      </c>
      <c r="F3" t="s">
        <v>73</v>
      </c>
      <c r="G3">
        <v>1</v>
      </c>
      <c r="H3" t="s">
        <v>8</v>
      </c>
      <c r="I3" s="1">
        <v>1</v>
      </c>
      <c r="J3" t="s">
        <v>73</v>
      </c>
      <c r="K3">
        <v>8</v>
      </c>
      <c r="L3" t="s">
        <v>8</v>
      </c>
    </row>
    <row r="4" spans="1:12" x14ac:dyDescent="0.3">
      <c r="A4" t="s">
        <v>45</v>
      </c>
      <c r="B4" t="s">
        <v>0</v>
      </c>
      <c r="C4" t="s">
        <v>8</v>
      </c>
      <c r="D4" t="s">
        <v>3</v>
      </c>
      <c r="E4" s="1">
        <v>0.125</v>
      </c>
      <c r="F4" t="s">
        <v>73</v>
      </c>
      <c r="G4">
        <v>1</v>
      </c>
      <c r="H4" t="s">
        <v>8</v>
      </c>
      <c r="I4" s="1">
        <v>1</v>
      </c>
      <c r="J4" t="s">
        <v>73</v>
      </c>
      <c r="K4">
        <v>8</v>
      </c>
      <c r="L4" t="s">
        <v>8</v>
      </c>
    </row>
    <row r="5" spans="1:12" x14ac:dyDescent="0.3">
      <c r="A5" t="s">
        <v>45</v>
      </c>
      <c r="B5" t="s">
        <v>0</v>
      </c>
      <c r="C5" t="s">
        <v>8</v>
      </c>
      <c r="D5" t="s">
        <v>4</v>
      </c>
      <c r="E5" s="1">
        <v>1</v>
      </c>
      <c r="F5" t="s">
        <v>73</v>
      </c>
      <c r="G5">
        <v>1</v>
      </c>
      <c r="H5" t="s">
        <v>8</v>
      </c>
      <c r="I5" s="1">
        <v>0.5</v>
      </c>
      <c r="J5" t="s">
        <v>74</v>
      </c>
      <c r="K5">
        <v>8</v>
      </c>
      <c r="L5" t="s">
        <v>8</v>
      </c>
    </row>
    <row r="6" spans="1:12" x14ac:dyDescent="0.3">
      <c r="A6" t="s">
        <v>45</v>
      </c>
      <c r="B6" t="s">
        <v>0</v>
      </c>
      <c r="C6" t="s">
        <v>8</v>
      </c>
      <c r="D6" t="s">
        <v>5</v>
      </c>
      <c r="E6" s="1">
        <v>0.125</v>
      </c>
      <c r="F6" t="s">
        <v>74</v>
      </c>
      <c r="G6">
        <v>1</v>
      </c>
      <c r="H6" t="s">
        <v>8</v>
      </c>
      <c r="I6" s="1">
        <v>1</v>
      </c>
      <c r="J6" t="s">
        <v>74</v>
      </c>
      <c r="K6">
        <v>8</v>
      </c>
      <c r="L6" t="s">
        <v>8</v>
      </c>
    </row>
    <row r="7" spans="1:12" x14ac:dyDescent="0.3">
      <c r="A7" t="s">
        <v>45</v>
      </c>
      <c r="B7" t="s">
        <v>0</v>
      </c>
      <c r="C7" t="s">
        <v>23</v>
      </c>
      <c r="D7" t="s">
        <v>10</v>
      </c>
      <c r="E7" s="1">
        <v>0.5</v>
      </c>
      <c r="F7" t="s">
        <v>78</v>
      </c>
      <c r="G7">
        <v>1</v>
      </c>
      <c r="H7" t="s">
        <v>92</v>
      </c>
      <c r="I7" s="1">
        <v>2</v>
      </c>
      <c r="J7" t="s">
        <v>78</v>
      </c>
      <c r="K7">
        <v>4</v>
      </c>
      <c r="L7" t="s">
        <v>23</v>
      </c>
    </row>
    <row r="8" spans="1:12" x14ac:dyDescent="0.3">
      <c r="A8" t="s">
        <v>45</v>
      </c>
      <c r="B8" t="s">
        <v>0</v>
      </c>
      <c r="C8" t="s">
        <v>23</v>
      </c>
      <c r="D8" t="s">
        <v>11</v>
      </c>
      <c r="E8" s="1">
        <v>0.25</v>
      </c>
      <c r="F8" t="s">
        <v>74</v>
      </c>
      <c r="G8">
        <v>1</v>
      </c>
      <c r="H8" t="s">
        <v>92</v>
      </c>
      <c r="I8" s="1">
        <v>1</v>
      </c>
      <c r="J8" t="s">
        <v>74</v>
      </c>
      <c r="K8">
        <v>4</v>
      </c>
      <c r="L8" t="s">
        <v>23</v>
      </c>
    </row>
    <row r="9" spans="1:12" x14ac:dyDescent="0.3">
      <c r="A9" t="s">
        <v>45</v>
      </c>
      <c r="B9" t="s">
        <v>0</v>
      </c>
      <c r="C9" t="s">
        <v>23</v>
      </c>
      <c r="D9" t="s">
        <v>12</v>
      </c>
      <c r="E9" s="1">
        <v>0.25</v>
      </c>
      <c r="F9" t="s">
        <v>12</v>
      </c>
      <c r="G9">
        <v>1</v>
      </c>
      <c r="H9" t="s">
        <v>92</v>
      </c>
      <c r="I9" s="1">
        <v>1</v>
      </c>
      <c r="J9" t="s">
        <v>12</v>
      </c>
      <c r="K9">
        <v>4</v>
      </c>
      <c r="L9" t="s">
        <v>23</v>
      </c>
    </row>
    <row r="10" spans="1:12" x14ac:dyDescent="0.3">
      <c r="A10" t="s">
        <v>45</v>
      </c>
      <c r="B10" t="s">
        <v>0</v>
      </c>
      <c r="C10" t="s">
        <v>23</v>
      </c>
      <c r="D10" t="s">
        <v>19</v>
      </c>
      <c r="E10" s="1">
        <v>0.125</v>
      </c>
      <c r="F10" t="s">
        <v>74</v>
      </c>
      <c r="G10">
        <v>1</v>
      </c>
      <c r="H10" t="s">
        <v>92</v>
      </c>
      <c r="I10" s="1">
        <v>0.5</v>
      </c>
      <c r="J10" t="s">
        <v>74</v>
      </c>
      <c r="K10">
        <v>4</v>
      </c>
      <c r="L10" t="s">
        <v>23</v>
      </c>
    </row>
    <row r="11" spans="1:12" x14ac:dyDescent="0.3">
      <c r="A11" t="s">
        <v>45</v>
      </c>
      <c r="B11" t="s">
        <v>0</v>
      </c>
      <c r="C11" t="s">
        <v>23</v>
      </c>
      <c r="D11" t="s">
        <v>80</v>
      </c>
      <c r="E11" s="1">
        <v>0.25</v>
      </c>
      <c r="F11" t="s">
        <v>73</v>
      </c>
      <c r="G11">
        <v>1</v>
      </c>
      <c r="H11" t="s">
        <v>92</v>
      </c>
      <c r="I11" s="1">
        <v>1</v>
      </c>
      <c r="J11" t="s">
        <v>73</v>
      </c>
      <c r="K11">
        <v>4</v>
      </c>
      <c r="L11" t="s">
        <v>23</v>
      </c>
    </row>
    <row r="12" spans="1:12" x14ac:dyDescent="0.3">
      <c r="A12" t="s">
        <v>45</v>
      </c>
      <c r="B12" t="s">
        <v>0</v>
      </c>
      <c r="C12" t="s">
        <v>23</v>
      </c>
      <c r="D12" t="s">
        <v>13</v>
      </c>
      <c r="E12" s="1">
        <v>0.5</v>
      </c>
      <c r="F12" t="s">
        <v>73</v>
      </c>
      <c r="G12">
        <v>1</v>
      </c>
      <c r="H12" t="s">
        <v>92</v>
      </c>
      <c r="I12" s="1">
        <v>2</v>
      </c>
      <c r="J12" t="s">
        <v>73</v>
      </c>
      <c r="K12">
        <v>4</v>
      </c>
      <c r="L12" t="s">
        <v>23</v>
      </c>
    </row>
    <row r="13" spans="1:12" x14ac:dyDescent="0.3">
      <c r="A13" t="s">
        <v>45</v>
      </c>
      <c r="B13" t="s">
        <v>0</v>
      </c>
      <c r="C13" t="s">
        <v>23</v>
      </c>
      <c r="D13" t="s">
        <v>14</v>
      </c>
      <c r="E13" s="1">
        <v>0.25</v>
      </c>
      <c r="F13" t="s">
        <v>73</v>
      </c>
      <c r="G13">
        <v>1</v>
      </c>
      <c r="H13" t="s">
        <v>92</v>
      </c>
      <c r="I13" s="1">
        <v>1</v>
      </c>
      <c r="J13" t="s">
        <v>73</v>
      </c>
      <c r="K13">
        <v>4</v>
      </c>
      <c r="L13" t="s">
        <v>23</v>
      </c>
    </row>
    <row r="14" spans="1:12" x14ac:dyDescent="0.3">
      <c r="A14" t="s">
        <v>45</v>
      </c>
      <c r="B14" t="s">
        <v>0</v>
      </c>
      <c r="C14" t="s">
        <v>23</v>
      </c>
      <c r="D14" t="s">
        <v>3</v>
      </c>
      <c r="E14" s="1">
        <v>0.25</v>
      </c>
      <c r="F14" t="s">
        <v>73</v>
      </c>
      <c r="G14">
        <v>1</v>
      </c>
      <c r="H14" t="s">
        <v>92</v>
      </c>
      <c r="I14" s="1">
        <v>1</v>
      </c>
      <c r="J14" t="s">
        <v>73</v>
      </c>
      <c r="K14">
        <v>4</v>
      </c>
      <c r="L14" t="s">
        <v>23</v>
      </c>
    </row>
    <row r="15" spans="1:12" x14ac:dyDescent="0.3">
      <c r="A15" t="s">
        <v>45</v>
      </c>
      <c r="B15" t="s">
        <v>0</v>
      </c>
      <c r="C15" t="s">
        <v>23</v>
      </c>
      <c r="D15" t="s">
        <v>15</v>
      </c>
      <c r="E15" s="1">
        <v>0.25</v>
      </c>
      <c r="F15" t="s">
        <v>73</v>
      </c>
      <c r="G15">
        <v>1</v>
      </c>
      <c r="H15" t="s">
        <v>92</v>
      </c>
      <c r="I15" s="1">
        <v>1</v>
      </c>
      <c r="J15" t="s">
        <v>73</v>
      </c>
      <c r="K15">
        <v>4</v>
      </c>
      <c r="L15" t="s">
        <v>23</v>
      </c>
    </row>
    <row r="16" spans="1:12" x14ac:dyDescent="0.3">
      <c r="A16" t="s">
        <v>45</v>
      </c>
      <c r="B16" t="s">
        <v>0</v>
      </c>
      <c r="C16" t="s">
        <v>23</v>
      </c>
      <c r="D16" t="s">
        <v>41</v>
      </c>
      <c r="E16" s="1">
        <v>0.25</v>
      </c>
      <c r="F16" t="s">
        <v>73</v>
      </c>
      <c r="G16">
        <v>1</v>
      </c>
      <c r="H16" t="s">
        <v>92</v>
      </c>
      <c r="I16" s="1">
        <v>1</v>
      </c>
      <c r="J16" t="s">
        <v>73</v>
      </c>
      <c r="K16">
        <v>4</v>
      </c>
      <c r="L16" t="s">
        <v>23</v>
      </c>
    </row>
    <row r="17" spans="1:12" x14ac:dyDescent="0.3">
      <c r="A17" t="s">
        <v>45</v>
      </c>
      <c r="B17" t="s">
        <v>0</v>
      </c>
      <c r="C17" t="s">
        <v>23</v>
      </c>
      <c r="D17" t="s">
        <v>16</v>
      </c>
    </row>
    <row r="18" spans="1:12" x14ac:dyDescent="0.3">
      <c r="A18" t="s">
        <v>45</v>
      </c>
      <c r="B18" t="s">
        <v>17</v>
      </c>
      <c r="C18" t="s">
        <v>8</v>
      </c>
      <c r="D18" t="s">
        <v>1</v>
      </c>
      <c r="E18" s="1">
        <v>0.25</v>
      </c>
      <c r="F18" t="s">
        <v>74</v>
      </c>
      <c r="G18">
        <v>1</v>
      </c>
      <c r="H18" t="s">
        <v>8</v>
      </c>
      <c r="I18" s="1">
        <v>2</v>
      </c>
      <c r="J18" t="s">
        <v>74</v>
      </c>
      <c r="K18">
        <v>8</v>
      </c>
      <c r="L18" t="s">
        <v>8</v>
      </c>
    </row>
    <row r="19" spans="1:12" x14ac:dyDescent="0.3">
      <c r="A19" t="s">
        <v>45</v>
      </c>
      <c r="B19" t="s">
        <v>17</v>
      </c>
      <c r="C19" t="s">
        <v>8</v>
      </c>
      <c r="D19" t="s">
        <v>2</v>
      </c>
      <c r="E19" s="1">
        <v>0.125</v>
      </c>
      <c r="F19" t="s">
        <v>73</v>
      </c>
      <c r="G19">
        <v>1</v>
      </c>
      <c r="H19" t="s">
        <v>8</v>
      </c>
      <c r="I19" s="1">
        <v>1</v>
      </c>
      <c r="J19" t="s">
        <v>73</v>
      </c>
      <c r="K19">
        <v>8</v>
      </c>
      <c r="L19" t="s">
        <v>8</v>
      </c>
    </row>
    <row r="20" spans="1:12" x14ac:dyDescent="0.3">
      <c r="A20" t="s">
        <v>45</v>
      </c>
      <c r="B20" t="s">
        <v>17</v>
      </c>
      <c r="C20" t="s">
        <v>8</v>
      </c>
      <c r="D20" t="s">
        <v>3</v>
      </c>
      <c r="E20" s="1">
        <v>0.125</v>
      </c>
      <c r="F20" t="s">
        <v>73</v>
      </c>
      <c r="G20">
        <v>1</v>
      </c>
      <c r="H20" t="s">
        <v>8</v>
      </c>
      <c r="I20" s="1">
        <v>1</v>
      </c>
      <c r="J20" t="s">
        <v>73</v>
      </c>
      <c r="K20">
        <v>8</v>
      </c>
      <c r="L20" t="s">
        <v>8</v>
      </c>
    </row>
    <row r="21" spans="1:12" x14ac:dyDescent="0.3">
      <c r="A21" t="s">
        <v>45</v>
      </c>
      <c r="B21" t="s">
        <v>17</v>
      </c>
      <c r="C21" t="s">
        <v>8</v>
      </c>
      <c r="D21" t="s">
        <v>4</v>
      </c>
      <c r="E21" s="1">
        <v>1</v>
      </c>
      <c r="F21" t="s">
        <v>73</v>
      </c>
      <c r="G21">
        <v>1</v>
      </c>
      <c r="H21" t="s">
        <v>8</v>
      </c>
      <c r="I21" s="1">
        <v>0.5</v>
      </c>
      <c r="J21" t="s">
        <v>74</v>
      </c>
      <c r="K21">
        <v>8</v>
      </c>
      <c r="L21" t="s">
        <v>8</v>
      </c>
    </row>
    <row r="22" spans="1:12" x14ac:dyDescent="0.3">
      <c r="A22" t="s">
        <v>45</v>
      </c>
      <c r="B22" t="s">
        <v>17</v>
      </c>
      <c r="C22" t="s">
        <v>8</v>
      </c>
      <c r="D22" t="s">
        <v>5</v>
      </c>
      <c r="E22" s="1">
        <v>0.125</v>
      </c>
      <c r="F22" t="s">
        <v>74</v>
      </c>
      <c r="G22">
        <v>1</v>
      </c>
      <c r="H22" t="s">
        <v>8</v>
      </c>
      <c r="I22" s="1">
        <v>1</v>
      </c>
      <c r="J22" t="s">
        <v>74</v>
      </c>
      <c r="K22">
        <v>8</v>
      </c>
      <c r="L22" t="s">
        <v>8</v>
      </c>
    </row>
    <row r="23" spans="1:12" x14ac:dyDescent="0.3">
      <c r="A23" t="s">
        <v>45</v>
      </c>
      <c r="B23" t="s">
        <v>17</v>
      </c>
      <c r="C23" t="s">
        <v>21</v>
      </c>
      <c r="D23" t="s">
        <v>18</v>
      </c>
      <c r="E23" s="1">
        <v>2</v>
      </c>
      <c r="F23" t="s">
        <v>73</v>
      </c>
      <c r="G23">
        <v>2</v>
      </c>
      <c r="H23" t="s">
        <v>93</v>
      </c>
      <c r="I23" s="1">
        <v>2</v>
      </c>
      <c r="J23" t="s">
        <v>73</v>
      </c>
      <c r="K23">
        <v>2</v>
      </c>
      <c r="L23" t="s">
        <v>93</v>
      </c>
    </row>
    <row r="24" spans="1:12" x14ac:dyDescent="0.3">
      <c r="A24" t="s">
        <v>45</v>
      </c>
      <c r="B24" t="s">
        <v>17</v>
      </c>
      <c r="C24" t="s">
        <v>21</v>
      </c>
      <c r="D24" t="s">
        <v>4</v>
      </c>
      <c r="E24" s="1">
        <v>2</v>
      </c>
      <c r="F24" t="s">
        <v>73</v>
      </c>
      <c r="G24">
        <v>2</v>
      </c>
      <c r="H24" t="s">
        <v>93</v>
      </c>
      <c r="I24" s="1">
        <v>2</v>
      </c>
      <c r="J24" t="s">
        <v>73</v>
      </c>
      <c r="K24">
        <v>2</v>
      </c>
      <c r="L24" t="s">
        <v>93</v>
      </c>
    </row>
    <row r="25" spans="1:12" x14ac:dyDescent="0.3">
      <c r="A25" t="s">
        <v>45</v>
      </c>
      <c r="B25" t="s">
        <v>17</v>
      </c>
      <c r="C25" t="s">
        <v>21</v>
      </c>
      <c r="D25" t="s">
        <v>1</v>
      </c>
      <c r="E25" s="1">
        <v>0.25</v>
      </c>
      <c r="F25" t="s">
        <v>74</v>
      </c>
      <c r="G25">
        <v>2</v>
      </c>
      <c r="H25" t="s">
        <v>93</v>
      </c>
      <c r="I25" s="1">
        <v>0.25</v>
      </c>
      <c r="J25" t="s">
        <v>74</v>
      </c>
      <c r="K25">
        <v>2</v>
      </c>
      <c r="L25" t="s">
        <v>93</v>
      </c>
    </row>
    <row r="26" spans="1:12" x14ac:dyDescent="0.3">
      <c r="A26" t="s">
        <v>45</v>
      </c>
      <c r="B26" t="s">
        <v>17</v>
      </c>
      <c r="C26" t="s">
        <v>21</v>
      </c>
      <c r="D26" t="s">
        <v>19</v>
      </c>
      <c r="E26" s="1">
        <v>2</v>
      </c>
      <c r="F26" t="s">
        <v>74</v>
      </c>
      <c r="G26">
        <v>2</v>
      </c>
      <c r="H26" t="s">
        <v>93</v>
      </c>
      <c r="I26" s="1">
        <v>2</v>
      </c>
      <c r="J26" t="s">
        <v>74</v>
      </c>
      <c r="K26">
        <v>2</v>
      </c>
      <c r="L26" t="s">
        <v>93</v>
      </c>
    </row>
    <row r="27" spans="1:12" x14ac:dyDescent="0.3">
      <c r="A27" t="s">
        <v>45</v>
      </c>
      <c r="B27" t="s">
        <v>17</v>
      </c>
      <c r="C27" t="s">
        <v>21</v>
      </c>
      <c r="D27" t="s">
        <v>3</v>
      </c>
      <c r="E27" s="1">
        <v>1</v>
      </c>
      <c r="F27" t="s">
        <v>73</v>
      </c>
      <c r="G27">
        <v>2</v>
      </c>
      <c r="H27" t="s">
        <v>93</v>
      </c>
      <c r="I27" s="1">
        <v>1</v>
      </c>
      <c r="J27" t="s">
        <v>73</v>
      </c>
      <c r="K27">
        <v>2</v>
      </c>
      <c r="L27" t="s">
        <v>93</v>
      </c>
    </row>
    <row r="28" spans="1:12" x14ac:dyDescent="0.3">
      <c r="A28" t="s">
        <v>45</v>
      </c>
      <c r="B28" t="s">
        <v>17</v>
      </c>
      <c r="C28" t="s">
        <v>21</v>
      </c>
      <c r="D28" t="s">
        <v>15</v>
      </c>
      <c r="E28" s="1">
        <v>1</v>
      </c>
      <c r="F28" t="s">
        <v>73</v>
      </c>
      <c r="G28">
        <v>2</v>
      </c>
      <c r="H28" t="s">
        <v>93</v>
      </c>
      <c r="I28" s="1">
        <v>1</v>
      </c>
      <c r="J28" t="s">
        <v>73</v>
      </c>
      <c r="K28">
        <v>2</v>
      </c>
      <c r="L28" t="s">
        <v>93</v>
      </c>
    </row>
    <row r="29" spans="1:12" x14ac:dyDescent="0.3">
      <c r="A29" t="s">
        <v>45</v>
      </c>
      <c r="B29" t="s">
        <v>17</v>
      </c>
      <c r="C29" t="s">
        <v>21</v>
      </c>
      <c r="D29" t="s">
        <v>20</v>
      </c>
      <c r="E29" s="1">
        <v>1</v>
      </c>
      <c r="F29" t="s">
        <v>81</v>
      </c>
      <c r="G29">
        <v>2</v>
      </c>
      <c r="H29" t="s">
        <v>93</v>
      </c>
      <c r="I29" s="1">
        <v>1</v>
      </c>
      <c r="J29" t="s">
        <v>81</v>
      </c>
      <c r="K29">
        <v>2</v>
      </c>
      <c r="L29" t="s">
        <v>93</v>
      </c>
    </row>
    <row r="30" spans="1:12" x14ac:dyDescent="0.3">
      <c r="A30" t="s">
        <v>45</v>
      </c>
      <c r="B30" t="s">
        <v>35</v>
      </c>
      <c r="C30" t="s">
        <v>36</v>
      </c>
      <c r="D30" t="s">
        <v>10</v>
      </c>
      <c r="E30" s="1">
        <v>0.5</v>
      </c>
      <c r="F30" t="s">
        <v>78</v>
      </c>
      <c r="G30">
        <v>4</v>
      </c>
      <c r="H30" t="s">
        <v>94</v>
      </c>
      <c r="I30" s="1">
        <v>2</v>
      </c>
      <c r="J30" t="s">
        <v>78</v>
      </c>
      <c r="K30">
        <v>4</v>
      </c>
    </row>
    <row r="31" spans="1:12" x14ac:dyDescent="0.3">
      <c r="A31" t="s">
        <v>45</v>
      </c>
      <c r="B31" t="s">
        <v>35</v>
      </c>
      <c r="C31" t="s">
        <v>36</v>
      </c>
      <c r="D31" t="s">
        <v>11</v>
      </c>
      <c r="E31" s="1">
        <v>0.25</v>
      </c>
      <c r="F31" t="s">
        <v>74</v>
      </c>
      <c r="G31">
        <v>4</v>
      </c>
      <c r="H31" t="s">
        <v>94</v>
      </c>
      <c r="I31" s="1">
        <v>1</v>
      </c>
      <c r="J31" t="s">
        <v>74</v>
      </c>
      <c r="K31">
        <v>4</v>
      </c>
    </row>
    <row r="32" spans="1:12" x14ac:dyDescent="0.3">
      <c r="A32" t="s">
        <v>45</v>
      </c>
      <c r="B32" t="s">
        <v>35</v>
      </c>
      <c r="C32" t="s">
        <v>36</v>
      </c>
      <c r="D32" t="s">
        <v>12</v>
      </c>
      <c r="E32" s="1">
        <v>0.25</v>
      </c>
      <c r="F32" t="s">
        <v>12</v>
      </c>
      <c r="G32">
        <v>4</v>
      </c>
      <c r="H32" t="s">
        <v>94</v>
      </c>
      <c r="I32" s="1">
        <v>1</v>
      </c>
      <c r="J32" t="s">
        <v>12</v>
      </c>
      <c r="K32">
        <v>4</v>
      </c>
    </row>
    <row r="33" spans="1:11" x14ac:dyDescent="0.3">
      <c r="A33" t="s">
        <v>45</v>
      </c>
      <c r="B33" t="s">
        <v>35</v>
      </c>
      <c r="C33" t="s">
        <v>36</v>
      </c>
      <c r="D33" t="s">
        <v>19</v>
      </c>
      <c r="E33" s="1">
        <v>0.125</v>
      </c>
      <c r="F33" t="s">
        <v>74</v>
      </c>
      <c r="G33">
        <v>4</v>
      </c>
      <c r="H33" t="s">
        <v>94</v>
      </c>
      <c r="I33" s="1">
        <v>0.5</v>
      </c>
      <c r="J33" t="s">
        <v>74</v>
      </c>
      <c r="K33">
        <v>4</v>
      </c>
    </row>
    <row r="34" spans="1:11" x14ac:dyDescent="0.3">
      <c r="A34" t="s">
        <v>45</v>
      </c>
      <c r="B34" t="s">
        <v>35</v>
      </c>
      <c r="C34" t="s">
        <v>36</v>
      </c>
      <c r="D34" t="s">
        <v>80</v>
      </c>
      <c r="E34" s="1">
        <v>0.25</v>
      </c>
      <c r="F34" t="s">
        <v>73</v>
      </c>
      <c r="G34">
        <v>4</v>
      </c>
      <c r="H34" t="s">
        <v>94</v>
      </c>
      <c r="I34" s="1">
        <v>1</v>
      </c>
      <c r="J34" t="s">
        <v>73</v>
      </c>
      <c r="K34">
        <v>4</v>
      </c>
    </row>
    <row r="35" spans="1:11" x14ac:dyDescent="0.3">
      <c r="A35" t="s">
        <v>45</v>
      </c>
      <c r="B35" t="s">
        <v>35</v>
      </c>
      <c r="C35" t="s">
        <v>36</v>
      </c>
      <c r="D35" t="s">
        <v>13</v>
      </c>
      <c r="E35" s="1">
        <v>0.5</v>
      </c>
      <c r="F35" t="s">
        <v>73</v>
      </c>
      <c r="G35">
        <v>4</v>
      </c>
      <c r="H35" t="s">
        <v>94</v>
      </c>
      <c r="I35" s="1">
        <v>2</v>
      </c>
      <c r="J35" t="s">
        <v>73</v>
      </c>
      <c r="K35">
        <v>4</v>
      </c>
    </row>
    <row r="36" spans="1:11" x14ac:dyDescent="0.3">
      <c r="A36" t="s">
        <v>45</v>
      </c>
      <c r="B36" t="s">
        <v>35</v>
      </c>
      <c r="C36" t="s">
        <v>36</v>
      </c>
      <c r="D36" t="s">
        <v>14</v>
      </c>
      <c r="E36" s="1">
        <v>0.25</v>
      </c>
      <c r="F36" t="s">
        <v>73</v>
      </c>
      <c r="G36">
        <v>4</v>
      </c>
      <c r="H36" t="s">
        <v>94</v>
      </c>
      <c r="I36" s="1">
        <v>1</v>
      </c>
      <c r="J36" t="s">
        <v>73</v>
      </c>
      <c r="K36">
        <v>4</v>
      </c>
    </row>
    <row r="37" spans="1:11" x14ac:dyDescent="0.3">
      <c r="A37" t="s">
        <v>45</v>
      </c>
      <c r="B37" t="s">
        <v>35</v>
      </c>
      <c r="C37" t="s">
        <v>36</v>
      </c>
      <c r="D37" t="s">
        <v>3</v>
      </c>
      <c r="E37" s="1">
        <v>0.25</v>
      </c>
      <c r="F37" t="s">
        <v>73</v>
      </c>
      <c r="G37">
        <v>4</v>
      </c>
      <c r="H37" t="s">
        <v>94</v>
      </c>
      <c r="I37" s="1">
        <v>1</v>
      </c>
      <c r="J37" t="s">
        <v>73</v>
      </c>
      <c r="K37">
        <v>4</v>
      </c>
    </row>
    <row r="38" spans="1:11" x14ac:dyDescent="0.3">
      <c r="A38" t="s">
        <v>45</v>
      </c>
      <c r="B38" t="s">
        <v>35</v>
      </c>
      <c r="C38" t="s">
        <v>36</v>
      </c>
      <c r="D38" t="s">
        <v>15</v>
      </c>
      <c r="E38" s="1">
        <v>0.25</v>
      </c>
      <c r="F38" t="s">
        <v>73</v>
      </c>
      <c r="G38">
        <v>4</v>
      </c>
      <c r="H38" t="s">
        <v>94</v>
      </c>
      <c r="I38" s="1">
        <v>1</v>
      </c>
      <c r="J38" t="s">
        <v>73</v>
      </c>
      <c r="K38">
        <v>4</v>
      </c>
    </row>
    <row r="39" spans="1:11" x14ac:dyDescent="0.3">
      <c r="A39" t="s">
        <v>45</v>
      </c>
      <c r="B39" t="s">
        <v>35</v>
      </c>
      <c r="C39" t="s">
        <v>36</v>
      </c>
      <c r="D39" t="s">
        <v>41</v>
      </c>
      <c r="E39" s="1">
        <v>0.25</v>
      </c>
      <c r="F39" t="s">
        <v>73</v>
      </c>
      <c r="G39">
        <v>4</v>
      </c>
      <c r="H39" t="s">
        <v>94</v>
      </c>
      <c r="I39" s="1">
        <v>1</v>
      </c>
      <c r="J39" t="s">
        <v>73</v>
      </c>
      <c r="K39">
        <v>4</v>
      </c>
    </row>
    <row r="40" spans="1:11" x14ac:dyDescent="0.3">
      <c r="A40" t="s">
        <v>45</v>
      </c>
      <c r="B40" t="s">
        <v>35</v>
      </c>
      <c r="C40" t="s">
        <v>36</v>
      </c>
      <c r="D40" t="s">
        <v>16</v>
      </c>
    </row>
    <row r="41" spans="1:11" x14ac:dyDescent="0.3">
      <c r="A41" t="s">
        <v>45</v>
      </c>
      <c r="B41" t="s">
        <v>22</v>
      </c>
      <c r="C41" t="s">
        <v>23</v>
      </c>
      <c r="D41" t="s">
        <v>10</v>
      </c>
      <c r="E41" s="1">
        <v>0.5</v>
      </c>
      <c r="F41" t="s">
        <v>78</v>
      </c>
      <c r="I41" s="1">
        <v>2</v>
      </c>
      <c r="J41" t="s">
        <v>78</v>
      </c>
      <c r="K41">
        <v>4</v>
      </c>
    </row>
    <row r="42" spans="1:11" x14ac:dyDescent="0.3">
      <c r="A42" t="s">
        <v>45</v>
      </c>
      <c r="B42" t="s">
        <v>22</v>
      </c>
      <c r="C42" t="s">
        <v>23</v>
      </c>
      <c r="D42" t="s">
        <v>11</v>
      </c>
      <c r="E42" s="1">
        <v>0.25</v>
      </c>
      <c r="F42" t="s">
        <v>74</v>
      </c>
      <c r="I42" s="1">
        <v>1</v>
      </c>
      <c r="J42" t="s">
        <v>74</v>
      </c>
      <c r="K42">
        <v>4</v>
      </c>
    </row>
    <row r="43" spans="1:11" x14ac:dyDescent="0.3">
      <c r="A43" t="s">
        <v>45</v>
      </c>
      <c r="B43" t="s">
        <v>22</v>
      </c>
      <c r="C43" t="s">
        <v>23</v>
      </c>
      <c r="D43" t="s">
        <v>12</v>
      </c>
      <c r="E43" s="1">
        <v>0.25</v>
      </c>
      <c r="F43" t="s">
        <v>12</v>
      </c>
      <c r="I43" s="1">
        <v>1</v>
      </c>
      <c r="J43" t="s">
        <v>12</v>
      </c>
      <c r="K43">
        <v>4</v>
      </c>
    </row>
    <row r="44" spans="1:11" x14ac:dyDescent="0.3">
      <c r="A44" t="s">
        <v>45</v>
      </c>
      <c r="B44" t="s">
        <v>22</v>
      </c>
      <c r="C44" t="s">
        <v>23</v>
      </c>
      <c r="D44" t="s">
        <v>19</v>
      </c>
      <c r="E44" s="1">
        <v>0.125</v>
      </c>
      <c r="F44" t="s">
        <v>74</v>
      </c>
      <c r="I44" s="1">
        <v>0.5</v>
      </c>
      <c r="J44" t="s">
        <v>74</v>
      </c>
      <c r="K44">
        <v>4</v>
      </c>
    </row>
    <row r="45" spans="1:11" x14ac:dyDescent="0.3">
      <c r="A45" t="s">
        <v>45</v>
      </c>
      <c r="B45" t="s">
        <v>22</v>
      </c>
      <c r="C45" t="s">
        <v>23</v>
      </c>
      <c r="D45" t="s">
        <v>80</v>
      </c>
      <c r="E45" s="1">
        <v>0.25</v>
      </c>
      <c r="F45" t="s">
        <v>73</v>
      </c>
      <c r="I45" s="1">
        <v>1</v>
      </c>
      <c r="J45" t="s">
        <v>73</v>
      </c>
      <c r="K45">
        <v>4</v>
      </c>
    </row>
    <row r="46" spans="1:11" x14ac:dyDescent="0.3">
      <c r="A46" t="s">
        <v>45</v>
      </c>
      <c r="B46" t="s">
        <v>22</v>
      </c>
      <c r="C46" t="s">
        <v>23</v>
      </c>
      <c r="D46" t="s">
        <v>13</v>
      </c>
      <c r="E46" s="1">
        <v>0.5</v>
      </c>
      <c r="F46" t="s">
        <v>73</v>
      </c>
      <c r="I46" s="1">
        <v>2</v>
      </c>
      <c r="J46" t="s">
        <v>73</v>
      </c>
      <c r="K46">
        <v>4</v>
      </c>
    </row>
    <row r="47" spans="1:11" x14ac:dyDescent="0.3">
      <c r="A47" t="s">
        <v>45</v>
      </c>
      <c r="B47" t="s">
        <v>22</v>
      </c>
      <c r="C47" t="s">
        <v>23</v>
      </c>
      <c r="D47" t="s">
        <v>14</v>
      </c>
      <c r="E47" s="1">
        <v>0.25</v>
      </c>
      <c r="F47" t="s">
        <v>73</v>
      </c>
      <c r="I47" s="1">
        <v>1</v>
      </c>
      <c r="J47" t="s">
        <v>73</v>
      </c>
      <c r="K47">
        <v>4</v>
      </c>
    </row>
    <row r="48" spans="1:11" x14ac:dyDescent="0.3">
      <c r="A48" t="s">
        <v>45</v>
      </c>
      <c r="B48" t="s">
        <v>22</v>
      </c>
      <c r="C48" t="s">
        <v>23</v>
      </c>
      <c r="D48" t="s">
        <v>3</v>
      </c>
      <c r="E48" s="1">
        <v>0.25</v>
      </c>
      <c r="F48" t="s">
        <v>73</v>
      </c>
      <c r="I48" s="1">
        <v>1</v>
      </c>
      <c r="J48" t="s">
        <v>73</v>
      </c>
      <c r="K48">
        <v>4</v>
      </c>
    </row>
    <row r="49" spans="1:11" x14ac:dyDescent="0.3">
      <c r="A49" t="s">
        <v>45</v>
      </c>
      <c r="B49" t="s">
        <v>22</v>
      </c>
      <c r="C49" t="s">
        <v>23</v>
      </c>
      <c r="D49" t="s">
        <v>15</v>
      </c>
      <c r="E49" s="1">
        <v>0.25</v>
      </c>
      <c r="F49" t="s">
        <v>73</v>
      </c>
      <c r="I49" s="1">
        <v>1</v>
      </c>
      <c r="J49" t="s">
        <v>73</v>
      </c>
      <c r="K49">
        <v>4</v>
      </c>
    </row>
    <row r="50" spans="1:11" x14ac:dyDescent="0.3">
      <c r="A50" t="s">
        <v>45</v>
      </c>
      <c r="B50" t="s">
        <v>22</v>
      </c>
      <c r="C50" t="s">
        <v>23</v>
      </c>
      <c r="D50" t="s">
        <v>41</v>
      </c>
      <c r="E50" s="1">
        <v>0.25</v>
      </c>
      <c r="F50" t="s">
        <v>73</v>
      </c>
      <c r="I50" s="1">
        <v>1</v>
      </c>
      <c r="J50" t="s">
        <v>73</v>
      </c>
      <c r="K50">
        <v>4</v>
      </c>
    </row>
    <row r="51" spans="1:11" x14ac:dyDescent="0.3">
      <c r="A51" t="s">
        <v>45</v>
      </c>
      <c r="B51" t="s">
        <v>22</v>
      </c>
      <c r="C51" t="s">
        <v>23</v>
      </c>
      <c r="D51" t="s">
        <v>16</v>
      </c>
    </row>
    <row r="52" spans="1:11" x14ac:dyDescent="0.3">
      <c r="A52" t="s">
        <v>45</v>
      </c>
      <c r="B52" t="s">
        <v>22</v>
      </c>
      <c r="C52" t="s">
        <v>24</v>
      </c>
      <c r="D52" t="s">
        <v>27</v>
      </c>
      <c r="E52" s="1">
        <v>1</v>
      </c>
      <c r="F52" t="s">
        <v>24</v>
      </c>
      <c r="I52" s="1">
        <v>4</v>
      </c>
      <c r="J52" t="s">
        <v>24</v>
      </c>
      <c r="K52">
        <v>4</v>
      </c>
    </row>
    <row r="53" spans="1:11" x14ac:dyDescent="0.3">
      <c r="A53" t="s">
        <v>45</v>
      </c>
      <c r="B53" t="s">
        <v>22</v>
      </c>
      <c r="C53" t="s">
        <v>24</v>
      </c>
      <c r="D53" t="s">
        <v>4</v>
      </c>
      <c r="E53" s="1">
        <v>0.5</v>
      </c>
      <c r="F53" t="s">
        <v>73</v>
      </c>
      <c r="I53" s="1">
        <v>2</v>
      </c>
      <c r="J53" t="s">
        <v>73</v>
      </c>
      <c r="K53">
        <v>4</v>
      </c>
    </row>
    <row r="54" spans="1:11" x14ac:dyDescent="0.3">
      <c r="A54" t="s">
        <v>45</v>
      </c>
      <c r="B54" t="s">
        <v>22</v>
      </c>
      <c r="C54" t="s">
        <v>25</v>
      </c>
      <c r="D54" t="s">
        <v>26</v>
      </c>
      <c r="E54" s="1">
        <v>8.8999999999999999E-3</v>
      </c>
      <c r="F54" t="s">
        <v>82</v>
      </c>
      <c r="I54" s="1">
        <v>0.35</v>
      </c>
      <c r="J54" t="s">
        <v>82</v>
      </c>
      <c r="K54">
        <v>4</v>
      </c>
    </row>
    <row r="55" spans="1:11" x14ac:dyDescent="0.3">
      <c r="A55" t="s">
        <v>45</v>
      </c>
      <c r="B55" t="s">
        <v>28</v>
      </c>
      <c r="C55" t="s">
        <v>59</v>
      </c>
      <c r="D55" t="s">
        <v>29</v>
      </c>
      <c r="E55" s="1">
        <v>4</v>
      </c>
      <c r="F55" t="s">
        <v>74</v>
      </c>
      <c r="I55" s="1">
        <v>8</v>
      </c>
      <c r="J55" t="s">
        <v>74</v>
      </c>
      <c r="K55">
        <v>4</v>
      </c>
    </row>
    <row r="56" spans="1:11" x14ac:dyDescent="0.3">
      <c r="A56" t="s">
        <v>45</v>
      </c>
      <c r="B56" t="s">
        <v>28</v>
      </c>
      <c r="C56" t="s">
        <v>59</v>
      </c>
      <c r="D56" t="s">
        <v>3</v>
      </c>
      <c r="E56" s="1">
        <v>0.25</v>
      </c>
      <c r="F56" t="s">
        <v>73</v>
      </c>
      <c r="I56" s="1">
        <v>1</v>
      </c>
      <c r="J56" t="s">
        <v>73</v>
      </c>
      <c r="K56">
        <v>4</v>
      </c>
    </row>
    <row r="57" spans="1:11" x14ac:dyDescent="0.3">
      <c r="A57" t="s">
        <v>45</v>
      </c>
      <c r="B57" t="s">
        <v>28</v>
      </c>
      <c r="C57" t="s">
        <v>59</v>
      </c>
      <c r="D57" t="s">
        <v>34</v>
      </c>
      <c r="E57" s="1">
        <v>0.25</v>
      </c>
      <c r="F57" t="s">
        <v>73</v>
      </c>
      <c r="I57" s="1">
        <v>1</v>
      </c>
      <c r="J57" t="s">
        <v>73</v>
      </c>
      <c r="K57">
        <v>4</v>
      </c>
    </row>
    <row r="58" spans="1:11" x14ac:dyDescent="0.3">
      <c r="A58" t="s">
        <v>45</v>
      </c>
      <c r="B58" t="s">
        <v>28</v>
      </c>
      <c r="C58" t="s">
        <v>59</v>
      </c>
      <c r="D58" t="s">
        <v>10</v>
      </c>
      <c r="E58" s="1">
        <v>0.25</v>
      </c>
      <c r="F58" t="s">
        <v>78</v>
      </c>
      <c r="I58" s="1">
        <v>1</v>
      </c>
      <c r="J58" t="s">
        <v>78</v>
      </c>
      <c r="K58">
        <v>4</v>
      </c>
    </row>
    <row r="59" spans="1:11" x14ac:dyDescent="0.3">
      <c r="A59" t="s">
        <v>45</v>
      </c>
      <c r="B59" t="s">
        <v>28</v>
      </c>
      <c r="C59" t="s">
        <v>59</v>
      </c>
      <c r="D59" t="s">
        <v>33</v>
      </c>
      <c r="E59" s="1">
        <v>1.25</v>
      </c>
      <c r="F59" t="s">
        <v>79</v>
      </c>
      <c r="I59" s="1">
        <v>5</v>
      </c>
      <c r="J59" t="s">
        <v>79</v>
      </c>
      <c r="K59">
        <v>4</v>
      </c>
    </row>
    <row r="60" spans="1:11" x14ac:dyDescent="0.3">
      <c r="A60" t="s">
        <v>45</v>
      </c>
      <c r="B60" t="s">
        <v>28</v>
      </c>
      <c r="C60" t="s">
        <v>59</v>
      </c>
      <c r="D60" t="s">
        <v>30</v>
      </c>
      <c r="E60" s="1">
        <v>1.25</v>
      </c>
      <c r="F60" t="s">
        <v>79</v>
      </c>
      <c r="I60" s="1">
        <v>5</v>
      </c>
      <c r="J60" t="s">
        <v>79</v>
      </c>
      <c r="K60">
        <v>4</v>
      </c>
    </row>
    <row r="61" spans="1:11" x14ac:dyDescent="0.3">
      <c r="A61" t="s">
        <v>45</v>
      </c>
      <c r="B61" t="s">
        <v>28</v>
      </c>
      <c r="C61" t="s">
        <v>59</v>
      </c>
      <c r="D61" t="s">
        <v>31</v>
      </c>
      <c r="E61" s="1">
        <v>0.5</v>
      </c>
      <c r="F61" t="s">
        <v>79</v>
      </c>
      <c r="I61" s="1">
        <v>2</v>
      </c>
      <c r="J61" t="s">
        <v>79</v>
      </c>
      <c r="K61">
        <v>4</v>
      </c>
    </row>
    <row r="62" spans="1:11" x14ac:dyDescent="0.3">
      <c r="A62" t="s">
        <v>45</v>
      </c>
      <c r="B62" t="s">
        <v>28</v>
      </c>
      <c r="C62" t="s">
        <v>32</v>
      </c>
      <c r="D62" t="s">
        <v>1</v>
      </c>
      <c r="E62" s="1">
        <v>0.5</v>
      </c>
      <c r="F62" t="s">
        <v>74</v>
      </c>
      <c r="I62" s="1">
        <v>2</v>
      </c>
      <c r="J62" t="s">
        <v>74</v>
      </c>
      <c r="K62">
        <v>8</v>
      </c>
    </row>
    <row r="63" spans="1:11" x14ac:dyDescent="0.3">
      <c r="A63" t="s">
        <v>45</v>
      </c>
      <c r="B63" t="s">
        <v>28</v>
      </c>
      <c r="C63" t="s">
        <v>32</v>
      </c>
      <c r="D63" t="s">
        <v>2</v>
      </c>
      <c r="E63" s="1">
        <v>0.25</v>
      </c>
      <c r="F63" t="s">
        <v>73</v>
      </c>
      <c r="I63" s="1">
        <v>1</v>
      </c>
      <c r="J63" t="s">
        <v>73</v>
      </c>
      <c r="K63">
        <v>8</v>
      </c>
    </row>
    <row r="64" spans="1:11" x14ac:dyDescent="0.3">
      <c r="A64" t="s">
        <v>45</v>
      </c>
      <c r="B64" t="s">
        <v>28</v>
      </c>
      <c r="C64" t="s">
        <v>32</v>
      </c>
      <c r="D64" t="s">
        <v>3</v>
      </c>
      <c r="E64" s="1">
        <v>0.25</v>
      </c>
      <c r="F64" t="s">
        <v>73</v>
      </c>
      <c r="I64" s="1">
        <v>1</v>
      </c>
      <c r="J64" t="s">
        <v>73</v>
      </c>
      <c r="K64">
        <v>8</v>
      </c>
    </row>
    <row r="65" spans="1:11" x14ac:dyDescent="0.3">
      <c r="A65" t="s">
        <v>45</v>
      </c>
      <c r="B65" t="s">
        <v>28</v>
      </c>
      <c r="C65" t="s">
        <v>32</v>
      </c>
      <c r="D65" t="s">
        <v>4</v>
      </c>
      <c r="E65" s="1">
        <v>2</v>
      </c>
      <c r="F65" t="s">
        <v>73</v>
      </c>
      <c r="I65" s="1">
        <v>0.5</v>
      </c>
      <c r="J65" t="s">
        <v>74</v>
      </c>
      <c r="K65">
        <v>8</v>
      </c>
    </row>
    <row r="66" spans="1:11" x14ac:dyDescent="0.3">
      <c r="A66" t="s">
        <v>45</v>
      </c>
      <c r="B66" t="s">
        <v>28</v>
      </c>
      <c r="C66" t="s">
        <v>32</v>
      </c>
      <c r="D66" t="s">
        <v>5</v>
      </c>
      <c r="E66" s="1">
        <v>0.25</v>
      </c>
      <c r="F66" t="s">
        <v>74</v>
      </c>
      <c r="I66" s="1">
        <v>1</v>
      </c>
      <c r="J66" t="s">
        <v>74</v>
      </c>
      <c r="K66">
        <v>8</v>
      </c>
    </row>
    <row r="67" spans="1:11" x14ac:dyDescent="0.3">
      <c r="A67" t="s">
        <v>45</v>
      </c>
      <c r="B67" t="s">
        <v>37</v>
      </c>
      <c r="C67" t="s">
        <v>38</v>
      </c>
      <c r="D67" t="s">
        <v>39</v>
      </c>
      <c r="E67" s="1">
        <f>I67/2</f>
        <v>2.25</v>
      </c>
      <c r="F67" t="s">
        <v>78</v>
      </c>
      <c r="I67" s="1">
        <v>4.5</v>
      </c>
      <c r="J67" t="s">
        <v>78</v>
      </c>
      <c r="K67">
        <v>2</v>
      </c>
    </row>
    <row r="68" spans="1:11" x14ac:dyDescent="0.3">
      <c r="A68" t="s">
        <v>45</v>
      </c>
      <c r="B68" t="s">
        <v>37</v>
      </c>
      <c r="C68" t="s">
        <v>38</v>
      </c>
      <c r="D68" t="s">
        <v>40</v>
      </c>
      <c r="E68" s="1">
        <f t="shared" ref="E68:E74" si="0">I68/2</f>
        <v>1.5</v>
      </c>
      <c r="F68" t="s">
        <v>73</v>
      </c>
      <c r="I68" s="1">
        <v>3</v>
      </c>
      <c r="J68" t="s">
        <v>73</v>
      </c>
      <c r="K68">
        <v>2</v>
      </c>
    </row>
    <row r="69" spans="1:11" x14ac:dyDescent="0.3">
      <c r="A69" t="s">
        <v>45</v>
      </c>
      <c r="B69" t="s">
        <v>37</v>
      </c>
      <c r="C69" t="s">
        <v>38</v>
      </c>
      <c r="D69" t="s">
        <v>3</v>
      </c>
      <c r="E69" s="1">
        <f t="shared" si="0"/>
        <v>1</v>
      </c>
      <c r="F69" t="s">
        <v>73</v>
      </c>
      <c r="I69" s="1">
        <v>2</v>
      </c>
      <c r="J69" t="s">
        <v>73</v>
      </c>
      <c r="K69">
        <v>2</v>
      </c>
    </row>
    <row r="70" spans="1:11" x14ac:dyDescent="0.3">
      <c r="A70" t="s">
        <v>45</v>
      </c>
      <c r="B70" t="s">
        <v>37</v>
      </c>
      <c r="C70" t="s">
        <v>38</v>
      </c>
      <c r="D70" t="s">
        <v>34</v>
      </c>
      <c r="E70" s="1">
        <f t="shared" si="0"/>
        <v>1</v>
      </c>
      <c r="F70" t="s">
        <v>73</v>
      </c>
      <c r="I70" s="1">
        <v>2</v>
      </c>
      <c r="J70" t="s">
        <v>73</v>
      </c>
      <c r="K70">
        <v>2</v>
      </c>
    </row>
    <row r="71" spans="1:11" x14ac:dyDescent="0.3">
      <c r="A71" t="s">
        <v>45</v>
      </c>
      <c r="B71" t="s">
        <v>37</v>
      </c>
      <c r="C71" t="s">
        <v>38</v>
      </c>
      <c r="D71" t="s">
        <v>41</v>
      </c>
      <c r="E71" s="1">
        <f t="shared" si="0"/>
        <v>1</v>
      </c>
      <c r="F71" t="s">
        <v>73</v>
      </c>
      <c r="I71" s="1">
        <v>2</v>
      </c>
      <c r="J71" t="s">
        <v>73</v>
      </c>
      <c r="K71">
        <v>2</v>
      </c>
    </row>
    <row r="72" spans="1:11" x14ac:dyDescent="0.3">
      <c r="A72" t="s">
        <v>45</v>
      </c>
      <c r="B72" t="s">
        <v>37</v>
      </c>
      <c r="C72" t="s">
        <v>38</v>
      </c>
      <c r="D72" t="s">
        <v>42</v>
      </c>
      <c r="E72" s="1">
        <f t="shared" si="0"/>
        <v>1</v>
      </c>
      <c r="F72" t="s">
        <v>73</v>
      </c>
      <c r="I72" s="1">
        <v>2</v>
      </c>
      <c r="J72" t="s">
        <v>73</v>
      </c>
      <c r="K72">
        <v>2</v>
      </c>
    </row>
    <row r="73" spans="1:11" x14ac:dyDescent="0.3">
      <c r="A73" t="s">
        <v>45</v>
      </c>
      <c r="B73" t="s">
        <v>37</v>
      </c>
      <c r="C73" t="s">
        <v>38</v>
      </c>
      <c r="D73" t="s">
        <v>43</v>
      </c>
      <c r="E73" s="1">
        <f t="shared" si="0"/>
        <v>1</v>
      </c>
      <c r="F73" t="s">
        <v>73</v>
      </c>
      <c r="I73" s="1">
        <v>2</v>
      </c>
      <c r="J73" t="s">
        <v>73</v>
      </c>
      <c r="K73">
        <v>2</v>
      </c>
    </row>
    <row r="74" spans="1:11" x14ac:dyDescent="0.3">
      <c r="A74" t="s">
        <v>45</v>
      </c>
      <c r="B74" t="s">
        <v>37</v>
      </c>
      <c r="C74" t="s">
        <v>38</v>
      </c>
      <c r="D74" t="s">
        <v>4</v>
      </c>
      <c r="E74" s="1">
        <f t="shared" si="0"/>
        <v>1.5</v>
      </c>
      <c r="F74" t="s">
        <v>73</v>
      </c>
      <c r="I74" s="1">
        <v>3</v>
      </c>
      <c r="J74" t="s">
        <v>73</v>
      </c>
      <c r="K74">
        <v>2</v>
      </c>
    </row>
    <row r="75" spans="1:11" x14ac:dyDescent="0.3">
      <c r="A75" t="s">
        <v>45</v>
      </c>
      <c r="B75" t="s">
        <v>37</v>
      </c>
      <c r="C75" t="s">
        <v>59</v>
      </c>
      <c r="D75" t="s">
        <v>29</v>
      </c>
      <c r="E75" s="1">
        <v>4</v>
      </c>
      <c r="F75" t="s">
        <v>74</v>
      </c>
      <c r="I75" s="1">
        <v>8</v>
      </c>
      <c r="J75" t="s">
        <v>74</v>
      </c>
      <c r="K75">
        <v>4</v>
      </c>
    </row>
    <row r="76" spans="1:11" x14ac:dyDescent="0.3">
      <c r="A76" t="s">
        <v>45</v>
      </c>
      <c r="B76" t="s">
        <v>37</v>
      </c>
      <c r="C76" t="s">
        <v>59</v>
      </c>
      <c r="D76" t="s">
        <v>3</v>
      </c>
      <c r="E76" s="1">
        <v>0.25</v>
      </c>
      <c r="F76" t="s">
        <v>73</v>
      </c>
      <c r="I76" s="1">
        <v>1</v>
      </c>
      <c r="J76" t="s">
        <v>73</v>
      </c>
      <c r="K76">
        <v>4</v>
      </c>
    </row>
    <row r="77" spans="1:11" x14ac:dyDescent="0.3">
      <c r="A77" t="s">
        <v>45</v>
      </c>
      <c r="B77" t="s">
        <v>37</v>
      </c>
      <c r="C77" t="s">
        <v>59</v>
      </c>
      <c r="D77" t="s">
        <v>34</v>
      </c>
      <c r="E77" s="1">
        <v>0.25</v>
      </c>
      <c r="F77" t="s">
        <v>73</v>
      </c>
      <c r="I77" s="1">
        <v>1</v>
      </c>
      <c r="J77" t="s">
        <v>73</v>
      </c>
      <c r="K77">
        <v>4</v>
      </c>
    </row>
    <row r="78" spans="1:11" x14ac:dyDescent="0.3">
      <c r="A78" t="s">
        <v>45</v>
      </c>
      <c r="B78" t="s">
        <v>37</v>
      </c>
      <c r="C78" t="s">
        <v>59</v>
      </c>
      <c r="D78" t="s">
        <v>10</v>
      </c>
      <c r="E78" s="1">
        <v>0.25</v>
      </c>
      <c r="F78" t="s">
        <v>78</v>
      </c>
      <c r="I78" s="1">
        <v>1</v>
      </c>
      <c r="J78" t="s">
        <v>78</v>
      </c>
      <c r="K78">
        <v>4</v>
      </c>
    </row>
    <row r="79" spans="1:11" x14ac:dyDescent="0.3">
      <c r="A79" t="s">
        <v>45</v>
      </c>
      <c r="B79" t="s">
        <v>37</v>
      </c>
      <c r="C79" t="s">
        <v>59</v>
      </c>
      <c r="D79" t="s">
        <v>33</v>
      </c>
      <c r="E79" s="1">
        <v>1.25</v>
      </c>
      <c r="F79" t="s">
        <v>79</v>
      </c>
      <c r="I79" s="1">
        <v>5</v>
      </c>
      <c r="J79" t="s">
        <v>79</v>
      </c>
      <c r="K79">
        <v>4</v>
      </c>
    </row>
    <row r="80" spans="1:11" x14ac:dyDescent="0.3">
      <c r="A80" t="s">
        <v>45</v>
      </c>
      <c r="B80" t="s">
        <v>37</v>
      </c>
      <c r="C80" t="s">
        <v>59</v>
      </c>
      <c r="D80" t="s">
        <v>30</v>
      </c>
      <c r="E80" s="1">
        <v>1.25</v>
      </c>
      <c r="F80" t="s">
        <v>79</v>
      </c>
      <c r="I80" s="1">
        <v>5</v>
      </c>
      <c r="J80" t="s">
        <v>79</v>
      </c>
      <c r="K80">
        <v>4</v>
      </c>
    </row>
    <row r="81" spans="1:11" x14ac:dyDescent="0.3">
      <c r="A81" t="s">
        <v>45</v>
      </c>
      <c r="B81" t="s">
        <v>37</v>
      </c>
      <c r="C81" t="s">
        <v>59</v>
      </c>
      <c r="D81" t="s">
        <v>31</v>
      </c>
      <c r="E81" s="1">
        <v>0.5</v>
      </c>
      <c r="F81" t="s">
        <v>79</v>
      </c>
      <c r="I81" s="1">
        <v>2</v>
      </c>
      <c r="J81" t="s">
        <v>79</v>
      </c>
      <c r="K81">
        <v>4</v>
      </c>
    </row>
    <row r="82" spans="1:11" x14ac:dyDescent="0.3">
      <c r="A82" t="s">
        <v>45</v>
      </c>
      <c r="B82" t="s">
        <v>37</v>
      </c>
      <c r="C82" t="s">
        <v>32</v>
      </c>
      <c r="D82" t="s">
        <v>1</v>
      </c>
      <c r="E82" s="1">
        <v>0.5</v>
      </c>
      <c r="F82" t="s">
        <v>74</v>
      </c>
      <c r="I82" s="1">
        <v>2</v>
      </c>
      <c r="J82" t="s">
        <v>74</v>
      </c>
      <c r="K82">
        <v>8</v>
      </c>
    </row>
    <row r="83" spans="1:11" x14ac:dyDescent="0.3">
      <c r="A83" t="s">
        <v>45</v>
      </c>
      <c r="B83" t="s">
        <v>37</v>
      </c>
      <c r="C83" t="s">
        <v>32</v>
      </c>
      <c r="D83" t="s">
        <v>2</v>
      </c>
      <c r="E83" s="1">
        <v>0.25</v>
      </c>
      <c r="F83" t="s">
        <v>73</v>
      </c>
      <c r="I83" s="1">
        <v>1</v>
      </c>
      <c r="J83" t="s">
        <v>73</v>
      </c>
      <c r="K83">
        <v>8</v>
      </c>
    </row>
    <row r="84" spans="1:11" x14ac:dyDescent="0.3">
      <c r="A84" t="s">
        <v>45</v>
      </c>
      <c r="B84" t="s">
        <v>37</v>
      </c>
      <c r="C84" t="s">
        <v>32</v>
      </c>
      <c r="D84" t="s">
        <v>3</v>
      </c>
      <c r="E84" s="1">
        <v>0.25</v>
      </c>
      <c r="F84" t="s">
        <v>73</v>
      </c>
      <c r="I84" s="1">
        <v>1</v>
      </c>
      <c r="J84" t="s">
        <v>73</v>
      </c>
      <c r="K84">
        <v>8</v>
      </c>
    </row>
    <row r="85" spans="1:11" x14ac:dyDescent="0.3">
      <c r="A85" t="s">
        <v>45</v>
      </c>
      <c r="B85" t="s">
        <v>37</v>
      </c>
      <c r="C85" t="s">
        <v>32</v>
      </c>
      <c r="D85" t="s">
        <v>4</v>
      </c>
      <c r="E85" s="1">
        <v>2</v>
      </c>
      <c r="F85" t="s">
        <v>73</v>
      </c>
      <c r="I85" s="1">
        <v>0.5</v>
      </c>
      <c r="J85" t="s">
        <v>74</v>
      </c>
      <c r="K85">
        <v>8</v>
      </c>
    </row>
    <row r="86" spans="1:11" x14ac:dyDescent="0.3">
      <c r="A86" t="s">
        <v>45</v>
      </c>
      <c r="B86" t="s">
        <v>37</v>
      </c>
      <c r="C86" t="s">
        <v>32</v>
      </c>
      <c r="D86" t="s">
        <v>5</v>
      </c>
      <c r="E86" s="1">
        <v>0.25</v>
      </c>
      <c r="F86" t="s">
        <v>74</v>
      </c>
      <c r="I86" s="1">
        <v>1</v>
      </c>
      <c r="J86" t="s">
        <v>74</v>
      </c>
      <c r="K86">
        <v>8</v>
      </c>
    </row>
    <row r="87" spans="1:11" x14ac:dyDescent="0.3">
      <c r="A87" t="s">
        <v>46</v>
      </c>
      <c r="B87" t="s">
        <v>47</v>
      </c>
      <c r="C87" t="s">
        <v>48</v>
      </c>
      <c r="D87" t="s">
        <v>49</v>
      </c>
      <c r="E87" s="1">
        <v>1</v>
      </c>
      <c r="F87" t="s">
        <v>83</v>
      </c>
      <c r="I87" s="1">
        <v>4</v>
      </c>
      <c r="J87" t="s">
        <v>83</v>
      </c>
      <c r="K87">
        <v>4</v>
      </c>
    </row>
    <row r="88" spans="1:11" x14ac:dyDescent="0.3">
      <c r="A88" t="s">
        <v>46</v>
      </c>
      <c r="B88" t="s">
        <v>47</v>
      </c>
      <c r="C88" t="s">
        <v>48</v>
      </c>
      <c r="D88" t="s">
        <v>19</v>
      </c>
      <c r="E88" s="1">
        <f>I88/4</f>
        <v>0.25</v>
      </c>
      <c r="F88" t="s">
        <v>74</v>
      </c>
      <c r="I88" s="1">
        <v>1</v>
      </c>
      <c r="J88" t="s">
        <v>74</v>
      </c>
      <c r="K88">
        <v>4</v>
      </c>
    </row>
    <row r="89" spans="1:11" x14ac:dyDescent="0.3">
      <c r="A89" t="s">
        <v>46</v>
      </c>
      <c r="B89" t="s">
        <v>47</v>
      </c>
      <c r="C89" t="s">
        <v>48</v>
      </c>
      <c r="D89" t="s">
        <v>12</v>
      </c>
      <c r="E89" s="1">
        <f>I89/4</f>
        <v>0.25</v>
      </c>
      <c r="F89" t="s">
        <v>12</v>
      </c>
      <c r="I89" s="1">
        <v>1</v>
      </c>
      <c r="J89" t="s">
        <v>12</v>
      </c>
      <c r="K89">
        <v>4</v>
      </c>
    </row>
    <row r="90" spans="1:11" x14ac:dyDescent="0.3">
      <c r="A90" t="s">
        <v>46</v>
      </c>
      <c r="B90" t="s">
        <v>47</v>
      </c>
      <c r="C90" t="s">
        <v>48</v>
      </c>
      <c r="D90" t="s">
        <v>1</v>
      </c>
      <c r="E90" s="1">
        <f>I90/4</f>
        <v>0.25</v>
      </c>
      <c r="F90" t="s">
        <v>74</v>
      </c>
      <c r="I90" s="1">
        <v>1</v>
      </c>
      <c r="J90" t="s">
        <v>74</v>
      </c>
      <c r="K90">
        <v>4</v>
      </c>
    </row>
    <row r="91" spans="1:11" x14ac:dyDescent="0.3">
      <c r="A91" t="s">
        <v>46</v>
      </c>
      <c r="B91" t="s">
        <v>47</v>
      </c>
      <c r="C91" t="s">
        <v>48</v>
      </c>
      <c r="D91" t="s">
        <v>50</v>
      </c>
      <c r="E91" s="1">
        <f>I91/4</f>
        <v>0.5</v>
      </c>
      <c r="F91" t="s">
        <v>73</v>
      </c>
      <c r="I91" s="1">
        <v>2</v>
      </c>
      <c r="J91" t="s">
        <v>73</v>
      </c>
      <c r="K91">
        <v>4</v>
      </c>
    </row>
    <row r="92" spans="1:11" x14ac:dyDescent="0.3">
      <c r="A92" t="s">
        <v>46</v>
      </c>
      <c r="B92" t="s">
        <v>47</v>
      </c>
      <c r="C92" t="s">
        <v>48</v>
      </c>
      <c r="D92" t="s">
        <v>51</v>
      </c>
      <c r="E92" s="1">
        <f>I92/4</f>
        <v>0.25</v>
      </c>
      <c r="F92" t="s">
        <v>73</v>
      </c>
      <c r="I92" s="1">
        <v>1</v>
      </c>
      <c r="J92" t="s">
        <v>73</v>
      </c>
      <c r="K92">
        <v>4</v>
      </c>
    </row>
    <row r="93" spans="1:11" x14ac:dyDescent="0.3">
      <c r="A93" t="s">
        <v>46</v>
      </c>
      <c r="B93" t="s">
        <v>47</v>
      </c>
      <c r="C93" t="s">
        <v>48</v>
      </c>
      <c r="D93" t="s">
        <v>15</v>
      </c>
      <c r="E93" s="1">
        <f>I93/4</f>
        <v>0.25</v>
      </c>
      <c r="F93" t="s">
        <v>73</v>
      </c>
      <c r="I93" s="1">
        <v>1</v>
      </c>
      <c r="J93" t="s">
        <v>73</v>
      </c>
      <c r="K93">
        <v>4</v>
      </c>
    </row>
    <row r="94" spans="1:11" x14ac:dyDescent="0.3">
      <c r="A94" t="s">
        <v>46</v>
      </c>
      <c r="B94" t="s">
        <v>47</v>
      </c>
      <c r="C94" t="s">
        <v>48</v>
      </c>
      <c r="D94" t="s">
        <v>41</v>
      </c>
      <c r="E94" s="1">
        <f>I94/4</f>
        <v>0.25</v>
      </c>
      <c r="F94" t="s">
        <v>73</v>
      </c>
      <c r="I94" s="1">
        <v>1</v>
      </c>
      <c r="J94" t="s">
        <v>73</v>
      </c>
      <c r="K94">
        <v>4</v>
      </c>
    </row>
    <row r="95" spans="1:11" x14ac:dyDescent="0.3">
      <c r="A95" t="s">
        <v>46</v>
      </c>
      <c r="B95" t="s">
        <v>47</v>
      </c>
      <c r="C95" t="s">
        <v>48</v>
      </c>
      <c r="D95" t="s">
        <v>14</v>
      </c>
      <c r="E95" s="1">
        <f>I95/4</f>
        <v>0.25</v>
      </c>
      <c r="F95" t="s">
        <v>73</v>
      </c>
      <c r="I95" s="1">
        <v>1</v>
      </c>
      <c r="J95" t="s">
        <v>73</v>
      </c>
      <c r="K95">
        <v>4</v>
      </c>
    </row>
    <row r="96" spans="1:11" x14ac:dyDescent="0.3">
      <c r="A96" t="s">
        <v>46</v>
      </c>
      <c r="B96" t="s">
        <v>47</v>
      </c>
      <c r="C96" t="s">
        <v>48</v>
      </c>
      <c r="D96" t="s">
        <v>42</v>
      </c>
      <c r="E96" s="1">
        <f>I96/4</f>
        <v>0.25</v>
      </c>
      <c r="F96" t="s">
        <v>73</v>
      </c>
      <c r="I96" s="1">
        <v>1</v>
      </c>
      <c r="J96" t="s">
        <v>73</v>
      </c>
      <c r="K96">
        <v>4</v>
      </c>
    </row>
    <row r="97" spans="1:11" x14ac:dyDescent="0.3">
      <c r="A97" t="s">
        <v>46</v>
      </c>
      <c r="B97" t="s">
        <v>47</v>
      </c>
      <c r="C97" t="s">
        <v>48</v>
      </c>
      <c r="D97" t="s">
        <v>16</v>
      </c>
      <c r="K97">
        <v>4</v>
      </c>
    </row>
    <row r="98" spans="1:11" x14ac:dyDescent="0.3">
      <c r="A98" t="s">
        <v>46</v>
      </c>
      <c r="B98" t="s">
        <v>21</v>
      </c>
      <c r="C98" t="s">
        <v>21</v>
      </c>
      <c r="D98" t="s">
        <v>18</v>
      </c>
      <c r="E98" s="1">
        <f>I98/2</f>
        <v>1</v>
      </c>
      <c r="F98" t="s">
        <v>73</v>
      </c>
      <c r="I98" s="1">
        <v>2</v>
      </c>
      <c r="J98" t="s">
        <v>73</v>
      </c>
      <c r="K98">
        <v>2</v>
      </c>
    </row>
    <row r="99" spans="1:11" x14ac:dyDescent="0.3">
      <c r="A99" t="s">
        <v>46</v>
      </c>
      <c r="B99" t="s">
        <v>21</v>
      </c>
      <c r="C99" t="s">
        <v>21</v>
      </c>
      <c r="D99" t="s">
        <v>4</v>
      </c>
      <c r="E99" s="1">
        <f t="shared" ref="E99:E104" si="1">I99/2</f>
        <v>1</v>
      </c>
      <c r="F99" t="s">
        <v>73</v>
      </c>
      <c r="I99" s="1">
        <v>2</v>
      </c>
      <c r="J99" t="s">
        <v>73</v>
      </c>
      <c r="K99">
        <v>2</v>
      </c>
    </row>
    <row r="100" spans="1:11" x14ac:dyDescent="0.3">
      <c r="A100" t="s">
        <v>46</v>
      </c>
      <c r="B100" t="s">
        <v>21</v>
      </c>
      <c r="C100" t="s">
        <v>21</v>
      </c>
      <c r="D100" t="s">
        <v>1</v>
      </c>
      <c r="E100" s="1">
        <f t="shared" si="1"/>
        <v>0.125</v>
      </c>
      <c r="F100" t="s">
        <v>74</v>
      </c>
      <c r="I100" s="1">
        <v>0.25</v>
      </c>
      <c r="J100" t="s">
        <v>74</v>
      </c>
      <c r="K100">
        <v>2</v>
      </c>
    </row>
    <row r="101" spans="1:11" x14ac:dyDescent="0.3">
      <c r="A101" t="s">
        <v>46</v>
      </c>
      <c r="B101" t="s">
        <v>21</v>
      </c>
      <c r="C101" t="s">
        <v>21</v>
      </c>
      <c r="D101" t="s">
        <v>19</v>
      </c>
      <c r="E101" s="1">
        <f t="shared" si="1"/>
        <v>1</v>
      </c>
      <c r="F101" t="s">
        <v>74</v>
      </c>
      <c r="I101" s="1">
        <v>2</v>
      </c>
      <c r="J101" t="s">
        <v>74</v>
      </c>
      <c r="K101">
        <v>2</v>
      </c>
    </row>
    <row r="102" spans="1:11" x14ac:dyDescent="0.3">
      <c r="A102" t="s">
        <v>46</v>
      </c>
      <c r="B102" t="s">
        <v>21</v>
      </c>
      <c r="C102" t="s">
        <v>21</v>
      </c>
      <c r="D102" t="s">
        <v>3</v>
      </c>
      <c r="E102" s="1">
        <f t="shared" si="1"/>
        <v>0.5</v>
      </c>
      <c r="F102" t="s">
        <v>73</v>
      </c>
      <c r="I102" s="1">
        <v>1</v>
      </c>
      <c r="J102" t="s">
        <v>73</v>
      </c>
      <c r="K102">
        <v>2</v>
      </c>
    </row>
    <row r="103" spans="1:11" x14ac:dyDescent="0.3">
      <c r="A103" t="s">
        <v>46</v>
      </c>
      <c r="B103" t="s">
        <v>21</v>
      </c>
      <c r="C103" t="s">
        <v>21</v>
      </c>
      <c r="D103" t="s">
        <v>15</v>
      </c>
      <c r="E103" s="1">
        <f t="shared" si="1"/>
        <v>0.5</v>
      </c>
      <c r="F103" t="s">
        <v>73</v>
      </c>
      <c r="I103" s="1">
        <v>1</v>
      </c>
      <c r="J103" t="s">
        <v>73</v>
      </c>
      <c r="K103">
        <v>2</v>
      </c>
    </row>
    <row r="104" spans="1:11" x14ac:dyDescent="0.3">
      <c r="A104" t="s">
        <v>46</v>
      </c>
      <c r="B104" t="s">
        <v>21</v>
      </c>
      <c r="C104" t="s">
        <v>21</v>
      </c>
      <c r="D104" t="s">
        <v>20</v>
      </c>
      <c r="E104" s="1">
        <f t="shared" si="1"/>
        <v>0.5</v>
      </c>
      <c r="F104" t="s">
        <v>81</v>
      </c>
      <c r="I104" s="1">
        <v>1</v>
      </c>
      <c r="J104" t="s">
        <v>81</v>
      </c>
      <c r="K104">
        <v>2</v>
      </c>
    </row>
    <row r="105" spans="1:11" x14ac:dyDescent="0.3">
      <c r="A105" t="s">
        <v>46</v>
      </c>
      <c r="B105" t="s">
        <v>52</v>
      </c>
      <c r="C105" t="s">
        <v>8</v>
      </c>
      <c r="D105" t="s">
        <v>1</v>
      </c>
      <c r="E105" s="1">
        <v>0.25</v>
      </c>
      <c r="F105" t="s">
        <v>74</v>
      </c>
      <c r="I105" s="1">
        <v>2</v>
      </c>
      <c r="J105" t="s">
        <v>74</v>
      </c>
      <c r="K105">
        <v>8</v>
      </c>
    </row>
    <row r="106" spans="1:11" x14ac:dyDescent="0.3">
      <c r="A106" t="s">
        <v>46</v>
      </c>
      <c r="B106" t="s">
        <v>52</v>
      </c>
      <c r="C106" t="s">
        <v>8</v>
      </c>
      <c r="D106" t="s">
        <v>2</v>
      </c>
      <c r="E106" s="1">
        <v>0.125</v>
      </c>
      <c r="F106" t="s">
        <v>73</v>
      </c>
      <c r="I106" s="1">
        <v>1</v>
      </c>
      <c r="J106" t="s">
        <v>73</v>
      </c>
      <c r="K106">
        <v>8</v>
      </c>
    </row>
    <row r="107" spans="1:11" x14ac:dyDescent="0.3">
      <c r="A107" t="s">
        <v>46</v>
      </c>
      <c r="B107" t="s">
        <v>52</v>
      </c>
      <c r="C107" t="s">
        <v>8</v>
      </c>
      <c r="D107" t="s">
        <v>3</v>
      </c>
      <c r="E107" s="1">
        <v>0.125</v>
      </c>
      <c r="F107" t="s">
        <v>73</v>
      </c>
      <c r="I107" s="1">
        <v>1</v>
      </c>
      <c r="J107" t="s">
        <v>73</v>
      </c>
      <c r="K107">
        <v>8</v>
      </c>
    </row>
    <row r="108" spans="1:11" x14ac:dyDescent="0.3">
      <c r="A108" t="s">
        <v>46</v>
      </c>
      <c r="B108" t="s">
        <v>52</v>
      </c>
      <c r="C108" t="s">
        <v>8</v>
      </c>
      <c r="D108" t="s">
        <v>4</v>
      </c>
      <c r="E108" s="1">
        <v>1</v>
      </c>
      <c r="F108" t="s">
        <v>73</v>
      </c>
      <c r="I108" s="1">
        <v>0.5</v>
      </c>
      <c r="J108" t="s">
        <v>74</v>
      </c>
      <c r="K108">
        <v>8</v>
      </c>
    </row>
    <row r="109" spans="1:11" x14ac:dyDescent="0.3">
      <c r="A109" t="s">
        <v>46</v>
      </c>
      <c r="B109" t="s">
        <v>52</v>
      </c>
      <c r="C109" t="s">
        <v>8</v>
      </c>
      <c r="D109" t="s">
        <v>5</v>
      </c>
      <c r="E109" s="1">
        <v>0.125</v>
      </c>
      <c r="F109" t="s">
        <v>74</v>
      </c>
      <c r="I109" s="1">
        <v>1</v>
      </c>
      <c r="J109" t="s">
        <v>74</v>
      </c>
      <c r="K109">
        <v>8</v>
      </c>
    </row>
    <row r="110" spans="1:11" x14ac:dyDescent="0.3">
      <c r="A110" t="s">
        <v>53</v>
      </c>
      <c r="B110" t="s">
        <v>54</v>
      </c>
      <c r="C110" t="s">
        <v>54</v>
      </c>
      <c r="D110" t="s">
        <v>55</v>
      </c>
      <c r="E110" s="1">
        <v>1</v>
      </c>
      <c r="F110" t="s">
        <v>85</v>
      </c>
      <c r="I110" s="1">
        <v>24</v>
      </c>
      <c r="J110" t="s">
        <v>85</v>
      </c>
      <c r="K110">
        <v>24</v>
      </c>
    </row>
    <row r="111" spans="1:11" x14ac:dyDescent="0.3">
      <c r="A111" t="s">
        <v>53</v>
      </c>
      <c r="B111" t="s">
        <v>54</v>
      </c>
      <c r="C111" t="s">
        <v>56</v>
      </c>
      <c r="D111" t="s">
        <v>56</v>
      </c>
      <c r="I111" s="1">
        <v>20</v>
      </c>
      <c r="J111" t="s">
        <v>78</v>
      </c>
      <c r="K111">
        <v>0.5</v>
      </c>
    </row>
    <row r="112" spans="1:11" x14ac:dyDescent="0.3">
      <c r="A112" t="s">
        <v>53</v>
      </c>
      <c r="B112" t="s">
        <v>57</v>
      </c>
      <c r="C112" t="s">
        <v>57</v>
      </c>
      <c r="D112" t="s">
        <v>58</v>
      </c>
      <c r="E112" s="1">
        <v>1</v>
      </c>
      <c r="F112" t="s">
        <v>86</v>
      </c>
      <c r="I112" s="1">
        <v>40</v>
      </c>
      <c r="J112" t="s">
        <v>86</v>
      </c>
      <c r="K112">
        <v>40</v>
      </c>
    </row>
    <row r="113" spans="1:11" x14ac:dyDescent="0.3">
      <c r="A113" t="s">
        <v>53</v>
      </c>
      <c r="B113" t="s">
        <v>57</v>
      </c>
      <c r="C113" t="s">
        <v>56</v>
      </c>
      <c r="D113" t="s">
        <v>56</v>
      </c>
      <c r="I113" s="1">
        <v>20</v>
      </c>
      <c r="J113" t="s">
        <v>78</v>
      </c>
      <c r="K113">
        <v>0.5</v>
      </c>
    </row>
    <row r="114" spans="1:11" x14ac:dyDescent="0.3">
      <c r="A114" t="s">
        <v>53</v>
      </c>
      <c r="B114" t="s">
        <v>60</v>
      </c>
      <c r="C114" t="s">
        <v>60</v>
      </c>
      <c r="D114" t="s">
        <v>61</v>
      </c>
      <c r="E114" s="1">
        <v>1</v>
      </c>
      <c r="F114" t="s">
        <v>86</v>
      </c>
      <c r="I114" s="1">
        <v>12</v>
      </c>
      <c r="J114" t="s">
        <v>86</v>
      </c>
      <c r="K114">
        <v>12</v>
      </c>
    </row>
    <row r="115" spans="1:11" x14ac:dyDescent="0.3">
      <c r="A115" t="s">
        <v>53</v>
      </c>
      <c r="B115" t="s">
        <v>60</v>
      </c>
      <c r="C115" t="s">
        <v>56</v>
      </c>
      <c r="D115" t="s">
        <v>56</v>
      </c>
      <c r="I115" s="1">
        <v>20</v>
      </c>
      <c r="J115" t="s">
        <v>78</v>
      </c>
      <c r="K115">
        <v>0.5</v>
      </c>
    </row>
    <row r="116" spans="1:11" x14ac:dyDescent="0.3">
      <c r="A116" t="s">
        <v>53</v>
      </c>
      <c r="B116" t="s">
        <v>65</v>
      </c>
      <c r="C116" t="s">
        <v>66</v>
      </c>
      <c r="D116" t="s">
        <v>62</v>
      </c>
    </row>
    <row r="117" spans="1:11" x14ac:dyDescent="0.3">
      <c r="A117" t="s">
        <v>53</v>
      </c>
      <c r="B117" t="s">
        <v>65</v>
      </c>
      <c r="C117" t="s">
        <v>66</v>
      </c>
      <c r="D117" t="s">
        <v>63</v>
      </c>
    </row>
    <row r="118" spans="1:11" x14ac:dyDescent="0.3">
      <c r="A118" t="s">
        <v>53</v>
      </c>
      <c r="B118" t="s">
        <v>65</v>
      </c>
      <c r="C118" t="s">
        <v>64</v>
      </c>
      <c r="D118" t="s">
        <v>62</v>
      </c>
    </row>
    <row r="119" spans="1:11" x14ac:dyDescent="0.3">
      <c r="A119" t="s">
        <v>53</v>
      </c>
      <c r="B119" t="s">
        <v>65</v>
      </c>
      <c r="C119" t="s">
        <v>64</v>
      </c>
      <c r="D119" t="s">
        <v>63</v>
      </c>
    </row>
    <row r="120" spans="1:11" x14ac:dyDescent="0.3">
      <c r="A120" t="s">
        <v>53</v>
      </c>
      <c r="B120" t="s">
        <v>65</v>
      </c>
      <c r="C120" t="s">
        <v>67</v>
      </c>
      <c r="D120" t="s">
        <v>60</v>
      </c>
    </row>
    <row r="121" spans="1:11" x14ac:dyDescent="0.3">
      <c r="A121" t="s">
        <v>53</v>
      </c>
      <c r="B121" t="s">
        <v>65</v>
      </c>
      <c r="C121" t="s">
        <v>67</v>
      </c>
      <c r="D121" t="s">
        <v>69</v>
      </c>
    </row>
    <row r="122" spans="1:11" x14ac:dyDescent="0.3">
      <c r="A122" t="s">
        <v>53</v>
      </c>
      <c r="B122" t="s">
        <v>65</v>
      </c>
      <c r="C122" t="s">
        <v>68</v>
      </c>
      <c r="D122" t="s">
        <v>60</v>
      </c>
    </row>
    <row r="123" spans="1:11" x14ac:dyDescent="0.3">
      <c r="A123" t="s">
        <v>53</v>
      </c>
      <c r="B123" t="s">
        <v>65</v>
      </c>
      <c r="C123" t="s">
        <v>68</v>
      </c>
      <c r="D123" t="s">
        <v>69</v>
      </c>
    </row>
    <row r="124" spans="1:11" x14ac:dyDescent="0.3">
      <c r="A124" t="s">
        <v>53</v>
      </c>
      <c r="B124" t="s">
        <v>65</v>
      </c>
      <c r="C124" t="s">
        <v>70</v>
      </c>
      <c r="D124" t="s">
        <v>71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4AE51-2C41-400A-994D-CC0B6906D3E0}">
  <dimension ref="A1:B42"/>
  <sheetViews>
    <sheetView topLeftCell="A13" workbookViewId="0">
      <selection activeCell="B2" sqref="B2"/>
    </sheetView>
  </sheetViews>
  <sheetFormatPr defaultRowHeight="14.4" x14ac:dyDescent="0.3"/>
  <cols>
    <col min="1" max="1" width="16.33203125" bestFit="1" customWidth="1"/>
    <col min="2" max="2" width="18.33203125" bestFit="1" customWidth="1"/>
  </cols>
  <sheetData>
    <row r="1" spans="1:2" x14ac:dyDescent="0.3">
      <c r="A1" s="2" t="s">
        <v>87</v>
      </c>
      <c r="B1" t="s">
        <v>89</v>
      </c>
    </row>
    <row r="2" spans="1:2" x14ac:dyDescent="0.3">
      <c r="A2" s="3" t="s">
        <v>2</v>
      </c>
      <c r="B2" s="4">
        <v>6</v>
      </c>
    </row>
    <row r="3" spans="1:2" x14ac:dyDescent="0.3">
      <c r="A3" s="3" t="s">
        <v>15</v>
      </c>
      <c r="B3" s="4">
        <v>6</v>
      </c>
    </row>
    <row r="4" spans="1:2" x14ac:dyDescent="0.3">
      <c r="A4" s="3" t="s">
        <v>4</v>
      </c>
      <c r="B4" s="4">
        <v>10</v>
      </c>
    </row>
    <row r="5" spans="1:2" x14ac:dyDescent="0.3">
      <c r="A5" s="3" t="s">
        <v>5</v>
      </c>
      <c r="B5" s="4">
        <v>6</v>
      </c>
    </row>
    <row r="6" spans="1:2" x14ac:dyDescent="0.3">
      <c r="A6" s="3" t="s">
        <v>33</v>
      </c>
      <c r="B6" s="4">
        <v>2</v>
      </c>
    </row>
    <row r="7" spans="1:2" x14ac:dyDescent="0.3">
      <c r="A7" s="3" t="s">
        <v>30</v>
      </c>
      <c r="B7" s="4">
        <v>2</v>
      </c>
    </row>
    <row r="8" spans="1:2" x14ac:dyDescent="0.3">
      <c r="A8" s="3" t="s">
        <v>20</v>
      </c>
      <c r="B8" s="4">
        <v>2</v>
      </c>
    </row>
    <row r="9" spans="1:2" x14ac:dyDescent="0.3">
      <c r="A9" s="3" t="s">
        <v>10</v>
      </c>
      <c r="B9" s="4">
        <v>5</v>
      </c>
    </row>
    <row r="10" spans="1:2" x14ac:dyDescent="0.3">
      <c r="A10" s="3" t="s">
        <v>29</v>
      </c>
      <c r="B10" s="4">
        <v>2</v>
      </c>
    </row>
    <row r="11" spans="1:2" x14ac:dyDescent="0.3">
      <c r="A11" s="3" t="s">
        <v>18</v>
      </c>
      <c r="B11" s="4">
        <v>2</v>
      </c>
    </row>
    <row r="12" spans="1:2" x14ac:dyDescent="0.3">
      <c r="A12" s="3" t="s">
        <v>50</v>
      </c>
      <c r="B12" s="4">
        <v>1</v>
      </c>
    </row>
    <row r="13" spans="1:2" x14ac:dyDescent="0.3">
      <c r="A13" s="3" t="s">
        <v>11</v>
      </c>
      <c r="B13" s="4">
        <v>3</v>
      </c>
    </row>
    <row r="14" spans="1:2" x14ac:dyDescent="0.3">
      <c r="A14" s="3" t="s">
        <v>26</v>
      </c>
      <c r="B14" s="4">
        <v>1</v>
      </c>
    </row>
    <row r="15" spans="1:2" x14ac:dyDescent="0.3">
      <c r="A15" s="3" t="s">
        <v>12</v>
      </c>
      <c r="B15" s="4">
        <v>4</v>
      </c>
    </row>
    <row r="16" spans="1:2" x14ac:dyDescent="0.3">
      <c r="A16" s="3" t="s">
        <v>1</v>
      </c>
      <c r="B16" s="4">
        <v>9</v>
      </c>
    </row>
    <row r="17" spans="1:2" x14ac:dyDescent="0.3">
      <c r="A17" s="3" t="s">
        <v>80</v>
      </c>
      <c r="B17" s="4">
        <v>3</v>
      </c>
    </row>
    <row r="18" spans="1:2" x14ac:dyDescent="0.3">
      <c r="A18" s="3" t="s">
        <v>16</v>
      </c>
      <c r="B18" s="4">
        <v>4</v>
      </c>
    </row>
    <row r="19" spans="1:2" x14ac:dyDescent="0.3">
      <c r="A19" s="3" t="s">
        <v>41</v>
      </c>
      <c r="B19" s="4">
        <v>5</v>
      </c>
    </row>
    <row r="20" spans="1:2" x14ac:dyDescent="0.3">
      <c r="A20" s="3" t="s">
        <v>56</v>
      </c>
      <c r="B20" s="4">
        <v>3</v>
      </c>
    </row>
    <row r="21" spans="1:2" x14ac:dyDescent="0.3">
      <c r="A21" s="3" t="s">
        <v>69</v>
      </c>
      <c r="B21" s="4">
        <v>2</v>
      </c>
    </row>
    <row r="22" spans="1:2" x14ac:dyDescent="0.3">
      <c r="A22" s="3" t="s">
        <v>40</v>
      </c>
      <c r="B22" s="4">
        <v>1</v>
      </c>
    </row>
    <row r="23" spans="1:2" x14ac:dyDescent="0.3">
      <c r="A23" s="3" t="s">
        <v>14</v>
      </c>
      <c r="B23" s="4">
        <v>4</v>
      </c>
    </row>
    <row r="24" spans="1:2" x14ac:dyDescent="0.3">
      <c r="A24" s="3" t="s">
        <v>42</v>
      </c>
      <c r="B24" s="4">
        <v>2</v>
      </c>
    </row>
    <row r="25" spans="1:2" x14ac:dyDescent="0.3">
      <c r="A25" s="3" t="s">
        <v>63</v>
      </c>
      <c r="B25" s="4">
        <v>2</v>
      </c>
    </row>
    <row r="26" spans="1:2" x14ac:dyDescent="0.3">
      <c r="A26" s="3" t="s">
        <v>62</v>
      </c>
      <c r="B26" s="4">
        <v>2</v>
      </c>
    </row>
    <row r="27" spans="1:2" x14ac:dyDescent="0.3">
      <c r="A27" s="3" t="s">
        <v>34</v>
      </c>
      <c r="B27" s="4">
        <v>3</v>
      </c>
    </row>
    <row r="28" spans="1:2" x14ac:dyDescent="0.3">
      <c r="A28" s="3" t="s">
        <v>49</v>
      </c>
      <c r="B28" s="4">
        <v>1</v>
      </c>
    </row>
    <row r="29" spans="1:2" x14ac:dyDescent="0.3">
      <c r="A29" s="3" t="s">
        <v>13</v>
      </c>
      <c r="B29" s="4">
        <v>3</v>
      </c>
    </row>
    <row r="30" spans="1:2" x14ac:dyDescent="0.3">
      <c r="A30" s="3" t="s">
        <v>43</v>
      </c>
      <c r="B30" s="4">
        <v>1</v>
      </c>
    </row>
    <row r="31" spans="1:2" x14ac:dyDescent="0.3">
      <c r="A31" s="3" t="s">
        <v>3</v>
      </c>
      <c r="B31" s="4">
        <v>14</v>
      </c>
    </row>
    <row r="32" spans="1:2" x14ac:dyDescent="0.3">
      <c r="A32" s="3" t="s">
        <v>27</v>
      </c>
      <c r="B32" s="4">
        <v>1</v>
      </c>
    </row>
    <row r="33" spans="1:2" x14ac:dyDescent="0.3">
      <c r="A33" s="3" t="s">
        <v>51</v>
      </c>
      <c r="B33" s="4">
        <v>1</v>
      </c>
    </row>
    <row r="34" spans="1:2" x14ac:dyDescent="0.3">
      <c r="A34" s="3" t="s">
        <v>55</v>
      </c>
      <c r="B34" s="4">
        <v>1</v>
      </c>
    </row>
    <row r="35" spans="1:2" x14ac:dyDescent="0.3">
      <c r="A35" s="3" t="s">
        <v>60</v>
      </c>
      <c r="B35" s="4">
        <v>2</v>
      </c>
    </row>
    <row r="36" spans="1:2" x14ac:dyDescent="0.3">
      <c r="A36" s="3" t="s">
        <v>61</v>
      </c>
      <c r="B36" s="4">
        <v>1</v>
      </c>
    </row>
    <row r="37" spans="1:2" x14ac:dyDescent="0.3">
      <c r="A37" s="3" t="s">
        <v>58</v>
      </c>
      <c r="B37" s="4">
        <v>1</v>
      </c>
    </row>
    <row r="38" spans="1:2" x14ac:dyDescent="0.3">
      <c r="A38" s="3" t="s">
        <v>71</v>
      </c>
      <c r="B38" s="4">
        <v>1</v>
      </c>
    </row>
    <row r="39" spans="1:2" x14ac:dyDescent="0.3">
      <c r="A39" s="3" t="s">
        <v>39</v>
      </c>
      <c r="B39" s="4">
        <v>1</v>
      </c>
    </row>
    <row r="40" spans="1:2" x14ac:dyDescent="0.3">
      <c r="A40" s="3" t="s">
        <v>19</v>
      </c>
      <c r="B40" s="4">
        <v>6</v>
      </c>
    </row>
    <row r="41" spans="1:2" x14ac:dyDescent="0.3">
      <c r="A41" s="3" t="s">
        <v>31</v>
      </c>
      <c r="B41" s="4">
        <v>2</v>
      </c>
    </row>
    <row r="42" spans="1:2" x14ac:dyDescent="0.3">
      <c r="A42" s="3" t="s">
        <v>88</v>
      </c>
      <c r="B42" s="4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menu_recipe_breakdown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Pontius</dc:creator>
  <cp:lastModifiedBy>Marc Pontius</cp:lastModifiedBy>
  <dcterms:created xsi:type="dcterms:W3CDTF">2025-11-10T19:20:44Z</dcterms:created>
  <dcterms:modified xsi:type="dcterms:W3CDTF">2025-11-12T00:17:22Z</dcterms:modified>
</cp:coreProperties>
</file>