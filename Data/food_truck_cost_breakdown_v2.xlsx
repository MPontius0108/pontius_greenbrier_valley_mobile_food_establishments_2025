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workspace\c11\pontius_greenbrier_valley_mobile_food_establishments_2025\Data\"/>
    </mc:Choice>
  </mc:AlternateContent>
  <xr:revisionPtr revIDLastSave="0" documentId="13_ncr:1_{98747156-957A-456D-83AA-C7AC03DD49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st Breakdown" sheetId="1" r:id="rId1"/>
    <sheet name="avg menu pr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2"/>
  <c r="C4" i="2"/>
  <c r="C3" i="2"/>
  <c r="C2" i="2"/>
  <c r="B3" i="2"/>
  <c r="B2" i="2"/>
  <c r="B4" i="2"/>
  <c r="J132" i="1"/>
  <c r="J133" i="1"/>
  <c r="J134" i="1"/>
  <c r="J131" i="1"/>
  <c r="I134" i="1"/>
  <c r="K117" i="1"/>
  <c r="K118" i="1"/>
  <c r="K119" i="1"/>
  <c r="K120" i="1"/>
  <c r="K121" i="1"/>
  <c r="K116" i="1"/>
  <c r="J121" i="1"/>
  <c r="J117" i="1"/>
  <c r="J118" i="1"/>
  <c r="J119" i="1"/>
  <c r="J120" i="1"/>
  <c r="J116" i="1"/>
  <c r="J115" i="1"/>
  <c r="K115" i="1" s="1"/>
  <c r="I121" i="1"/>
  <c r="I116" i="1"/>
  <c r="K109" i="1"/>
  <c r="K110" i="1"/>
  <c r="K111" i="1"/>
  <c r="K112" i="1"/>
  <c r="K113" i="1"/>
  <c r="K114" i="1"/>
  <c r="K108" i="1"/>
  <c r="J109" i="1"/>
  <c r="J110" i="1"/>
  <c r="J111" i="1"/>
  <c r="J112" i="1"/>
  <c r="J113" i="1"/>
  <c r="J114" i="1"/>
  <c r="J108" i="1"/>
  <c r="I115" i="1"/>
  <c r="I108" i="1"/>
  <c r="K97" i="1"/>
  <c r="K98" i="1"/>
  <c r="K99" i="1"/>
  <c r="K100" i="1"/>
  <c r="K101" i="1"/>
  <c r="K102" i="1"/>
  <c r="K103" i="1"/>
  <c r="K104" i="1"/>
  <c r="K105" i="1"/>
  <c r="K106" i="1"/>
  <c r="K107" i="1"/>
  <c r="K96" i="1"/>
  <c r="J96" i="1"/>
  <c r="I107" i="1"/>
  <c r="I96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75" i="1"/>
  <c r="I95" i="1"/>
  <c r="I90" i="1"/>
  <c r="I83" i="1"/>
  <c r="I75" i="1"/>
  <c r="K2" i="1"/>
  <c r="K20" i="1"/>
  <c r="K33" i="1"/>
  <c r="K46" i="1"/>
  <c r="K64" i="1"/>
  <c r="K65" i="1"/>
  <c r="K66" i="1"/>
  <c r="K67" i="1"/>
  <c r="K68" i="1"/>
  <c r="K69" i="1"/>
  <c r="K70" i="1"/>
  <c r="K71" i="1"/>
  <c r="K72" i="1"/>
  <c r="K73" i="1"/>
  <c r="K74" i="1"/>
  <c r="K63" i="1"/>
  <c r="K62" i="1"/>
  <c r="J63" i="1"/>
  <c r="J64" i="1"/>
  <c r="J65" i="1"/>
  <c r="J66" i="1"/>
  <c r="J67" i="1"/>
  <c r="J68" i="1"/>
  <c r="J69" i="1"/>
  <c r="J70" i="1"/>
  <c r="J71" i="1"/>
  <c r="J72" i="1"/>
  <c r="J73" i="1"/>
  <c r="J74" i="1"/>
  <c r="J62" i="1"/>
  <c r="I62" i="1"/>
  <c r="I69" i="1"/>
  <c r="J34" i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J43" i="1"/>
  <c r="K43" i="1" s="1"/>
  <c r="J44" i="1"/>
  <c r="K44" i="1" s="1"/>
  <c r="J45" i="1"/>
  <c r="J33" i="1"/>
  <c r="K34" i="1"/>
  <c r="K42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46" i="1"/>
  <c r="I74" i="1"/>
  <c r="I61" i="1"/>
  <c r="I60" i="1"/>
  <c r="I58" i="1"/>
  <c r="I46" i="1"/>
  <c r="K45" i="1"/>
  <c r="I2" i="1"/>
  <c r="I19" i="1" s="1"/>
  <c r="I7" i="1"/>
  <c r="I33" i="1"/>
  <c r="I25" i="1"/>
  <c r="I20" i="1"/>
  <c r="K122" i="1"/>
  <c r="K123" i="1"/>
  <c r="K124" i="1"/>
  <c r="K125" i="1"/>
  <c r="K126" i="1"/>
  <c r="K127" i="1"/>
  <c r="K128" i="1"/>
  <c r="K129" i="1"/>
  <c r="K130" i="1"/>
  <c r="I32" i="1" l="1"/>
  <c r="J32" i="1" s="1"/>
  <c r="K32" i="1" s="1"/>
  <c r="J12" i="1"/>
  <c r="K12" i="1" s="1"/>
  <c r="J2" i="1"/>
  <c r="J8" i="1"/>
  <c r="K8" i="1" s="1"/>
  <c r="J10" i="1"/>
  <c r="K10" i="1" s="1"/>
  <c r="J13" i="1"/>
  <c r="K13" i="1" s="1"/>
  <c r="J16" i="1"/>
  <c r="K16" i="1" s="1"/>
  <c r="J3" i="1"/>
  <c r="K3" i="1" s="1"/>
  <c r="J17" i="1"/>
  <c r="K17" i="1" s="1"/>
  <c r="J18" i="1"/>
  <c r="K18" i="1" s="1"/>
  <c r="J19" i="1"/>
  <c r="K19" i="1" s="1"/>
  <c r="J14" i="1"/>
  <c r="K14" i="1" s="1"/>
  <c r="J15" i="1"/>
  <c r="K15" i="1" s="1"/>
  <c r="J4" i="1"/>
  <c r="K4" i="1" s="1"/>
  <c r="J5" i="1"/>
  <c r="K5" i="1" s="1"/>
  <c r="J6" i="1"/>
  <c r="K6" i="1" s="1"/>
  <c r="J7" i="1"/>
  <c r="K7" i="1" s="1"/>
  <c r="J11" i="1"/>
  <c r="K11" i="1" s="1"/>
  <c r="J9" i="1"/>
  <c r="K9" i="1" s="1"/>
  <c r="J30" i="1"/>
  <c r="K30" i="1" s="1"/>
  <c r="J29" i="1"/>
  <c r="K29" i="1" s="1"/>
  <c r="J26" i="1" l="1"/>
  <c r="K26" i="1" s="1"/>
  <c r="J25" i="1"/>
  <c r="K25" i="1" s="1"/>
  <c r="J24" i="1"/>
  <c r="K24" i="1" s="1"/>
  <c r="J20" i="1"/>
  <c r="J28" i="1"/>
  <c r="K28" i="1" s="1"/>
  <c r="J27" i="1"/>
  <c r="K27" i="1" s="1"/>
  <c r="J23" i="1"/>
  <c r="K23" i="1" s="1"/>
  <c r="J31" i="1"/>
  <c r="K31" i="1" s="1"/>
  <c r="J22" i="1"/>
  <c r="K22" i="1" s="1"/>
  <c r="J21" i="1"/>
  <c r="K21" i="1" s="1"/>
</calcChain>
</file>

<file path=xl/sharedStrings.xml><?xml version="1.0" encoding="utf-8"?>
<sst xmlns="http://schemas.openxmlformats.org/spreadsheetml/2006/main" count="817" uniqueCount="133">
  <si>
    <t>Menu Item</t>
  </si>
  <si>
    <t>Component</t>
  </si>
  <si>
    <t>Ingredient</t>
  </si>
  <si>
    <t>Amount per Portion</t>
  </si>
  <si>
    <t>Portion Unit</t>
  </si>
  <si>
    <t>Wholesale Price (per Base Unit)</t>
  </si>
  <si>
    <t>Cost per Portion Amount</t>
  </si>
  <si>
    <t>Subtotal per Component</t>
  </si>
  <si>
    <t>Chicken Biscuit</t>
  </si>
  <si>
    <t>Biscuit</t>
  </si>
  <si>
    <t>Flour</t>
  </si>
  <si>
    <t>cup</t>
  </si>
  <si>
    <t>$0.60/lb</t>
  </si>
  <si>
    <t>Baking Powder</t>
  </si>
  <si>
    <t>tbsp</t>
  </si>
  <si>
    <t>$4.50/lb</t>
  </si>
  <si>
    <t>Salt</t>
  </si>
  <si>
    <t>$0.75/lb</t>
  </si>
  <si>
    <t>Butter</t>
  </si>
  <si>
    <t>$2.55/lb</t>
  </si>
  <si>
    <t>Buttermilk</t>
  </si>
  <si>
    <t>$4.00/gal</t>
  </si>
  <si>
    <t>Fried Chicken Cutlet</t>
  </si>
  <si>
    <t>Chicken Breast</t>
  </si>
  <si>
    <t>lb</t>
  </si>
  <si>
    <t>$3.00/lb</t>
  </si>
  <si>
    <t>Dill Pickle Juice</t>
  </si>
  <si>
    <t>$5.00/gal</t>
  </si>
  <si>
    <t>Egg</t>
  </si>
  <si>
    <t>egg</t>
  </si>
  <si>
    <t>$0.21/egg</t>
  </si>
  <si>
    <t>Whole Milk</t>
  </si>
  <si>
    <t>$2.75/gal</t>
  </si>
  <si>
    <t>Franks Red Hot</t>
  </si>
  <si>
    <t>$13.50/gal</t>
  </si>
  <si>
    <t>Powdered Sugar</t>
  </si>
  <si>
    <t>Paprika</t>
  </si>
  <si>
    <t>$7.00/lb</t>
  </si>
  <si>
    <t>Black Pepper</t>
  </si>
  <si>
    <t>$8.00/lb</t>
  </si>
  <si>
    <t>Garlic Salt</t>
  </si>
  <si>
    <t>$5.25/lb</t>
  </si>
  <si>
    <t>Frying Oil</t>
  </si>
  <si>
    <t>-</t>
  </si>
  <si>
    <t>Negligible</t>
  </si>
  <si>
    <t>Total per Chicken Biscuit Portion</t>
  </si>
  <si>
    <t xml:space="preserve"> -</t>
  </si>
  <si>
    <t>Biscuits n Chicken Gravy</t>
  </si>
  <si>
    <t>Chicken Gravy</t>
  </si>
  <si>
    <t>Chicken Drippings</t>
  </si>
  <si>
    <t>$0.00 (byproduct)</t>
  </si>
  <si>
    <t>Chicken Boullion</t>
  </si>
  <si>
    <t>tsp</t>
  </si>
  <si>
    <t>$6.00/lb</t>
  </si>
  <si>
    <t>Total per Biscuits n Chicken Gravy Portion</t>
  </si>
  <si>
    <t>4 pc Tenders</t>
  </si>
  <si>
    <t>Fried Chicken Tenderloins</t>
  </si>
  <si>
    <t>Total per 4 pc Tenders Portion</t>
  </si>
  <si>
    <t>Chicken Sandwich</t>
  </si>
  <si>
    <t>Sandwich Bun</t>
  </si>
  <si>
    <t>Sandwich Buns</t>
  </si>
  <si>
    <t>sandwich bun</t>
  </si>
  <si>
    <t>$0.30/each</t>
  </si>
  <si>
    <t>Dill Pickle Chips</t>
  </si>
  <si>
    <t>Dill Pickles</t>
  </si>
  <si>
    <t>gallon jar</t>
  </si>
  <si>
    <t>$20.00/gal jar</t>
  </si>
  <si>
    <t>Total per Chicken Sandwich Portion</t>
  </si>
  <si>
    <t>Chicken n Dumplings</t>
  </si>
  <si>
    <t>Dumpling Broth</t>
  </si>
  <si>
    <t>Chicken Broth</t>
  </si>
  <si>
    <t>$1.50/gal</t>
  </si>
  <si>
    <t>Pepper</t>
  </si>
  <si>
    <t>Carrot</t>
  </si>
  <si>
    <t>oz</t>
  </si>
  <si>
    <t>$0.50/lb ($0.04/oz)</t>
  </si>
  <si>
    <t>Celery</t>
  </si>
  <si>
    <t>Yellow Onion</t>
  </si>
  <si>
    <t>Dumplings</t>
  </si>
  <si>
    <t>Total per Chicken n Dumplings Portion</t>
  </si>
  <si>
    <t>Family Combo</t>
  </si>
  <si>
    <t>Rotisserie Chicken</t>
  </si>
  <si>
    <t>Whole Chicken</t>
  </si>
  <si>
    <t>$1.65/lb</t>
  </si>
  <si>
    <t>Olive Oil</t>
  </si>
  <si>
    <t>$0.20/oz (~$0.10/tbsp)</t>
  </si>
  <si>
    <t>Parsley</t>
  </si>
  <si>
    <t>Rosemary</t>
  </si>
  <si>
    <t>Total per Family Combo Portion</t>
  </si>
  <si>
    <t>Wedges</t>
  </si>
  <si>
    <t>Potato Wedges</t>
  </si>
  <si>
    <t>Potatoes</t>
  </si>
  <si>
    <t>potato</t>
  </si>
  <si>
    <t>$0.80/lb (~$0.50 each)</t>
  </si>
  <si>
    <t>Cornstarch</t>
  </si>
  <si>
    <t>$0.80/lb</t>
  </si>
  <si>
    <t>Seasoned Salt</t>
  </si>
  <si>
    <t>Total per Wedges Portion</t>
  </si>
  <si>
    <t>Total per Chicken Gravy Portion</t>
  </si>
  <si>
    <t>Biscuits</t>
  </si>
  <si>
    <t>Total per Biscuits Portion</t>
  </si>
  <si>
    <t>Soda</t>
  </si>
  <si>
    <t>Soda (can)</t>
  </si>
  <si>
    <t>can</t>
  </si>
  <si>
    <t>$0.50/can</t>
  </si>
  <si>
    <t>Ice</t>
  </si>
  <si>
    <t>Total per Soda Portion</t>
  </si>
  <si>
    <t>Water</t>
  </si>
  <si>
    <t>Water (bottle)</t>
  </si>
  <si>
    <t>bottle</t>
  </si>
  <si>
    <t>$0.80/bottle</t>
  </si>
  <si>
    <t>Total per Water Portion</t>
  </si>
  <si>
    <t>Sweet Tea</t>
  </si>
  <si>
    <t>Sweet Tea (bottle)</t>
  </si>
  <si>
    <t>Total per Sweet Tea Portion</t>
  </si>
  <si>
    <t>Cost per Menu Item</t>
  </si>
  <si>
    <t>Menu Price</t>
  </si>
  <si>
    <t>category</t>
  </si>
  <si>
    <t>entrée</t>
  </si>
  <si>
    <t>side</t>
  </si>
  <si>
    <t>drink</t>
  </si>
  <si>
    <t>avg menu price</t>
  </si>
  <si>
    <t>total</t>
  </si>
  <si>
    <t>peach tea</t>
  </si>
  <si>
    <t>loaded peach tea</t>
  </si>
  <si>
    <t>Peach Tea</t>
  </si>
  <si>
    <t>cups</t>
  </si>
  <si>
    <t>11.50/gal</t>
  </si>
  <si>
    <t>Energy Drink</t>
  </si>
  <si>
    <t>energy drink</t>
  </si>
  <si>
    <t>ice</t>
  </si>
  <si>
    <t>avg menu cost</t>
  </si>
  <si>
    <t>Total per Loaded Peach Tea 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</si>
</sst>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2" fillId="0" borderId="0" xfId="1" applyFont="1"/>
    <xf numFmtId="0" fontId="1" fillId="0" borderId="2" xfId="0" applyFont="1" applyBorder="1" applyAlignment="1">
      <alignment horizontal="center" vertical="top"/>
    </xf>
    <xf numFmtId="44" fontId="0" fillId="0" borderId="0" xfId="0" applyNumberFormat="1"/>
    <xf numFmtId="2" fontId="0" fillId="0" borderId="0" xfId="0" applyNumberForma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workbookViewId="0">
      <selection activeCell="E63" sqref="E63"/>
    </sheetView>
  </sheetViews>
  <sheetFormatPr defaultRowHeight="14.4" x14ac:dyDescent="0.3"/>
  <cols>
    <col min="2" max="2" width="28.44140625" customWidth="1"/>
    <col min="3" max="3" width="17.77734375" customWidth="1"/>
    <col min="4" max="4" width="17.6640625" customWidth="1"/>
    <col min="5" max="5" width="17.77734375" customWidth="1"/>
    <col min="6" max="6" width="14.33203125" customWidth="1"/>
    <col min="7" max="7" width="11.44140625" customWidth="1"/>
    <col min="8" max="8" width="8" style="4" customWidth="1"/>
    <col min="9" max="9" width="20.5546875" style="4" customWidth="1"/>
    <col min="10" max="10" width="17.33203125" customWidth="1"/>
    <col min="11" max="11" width="12.109375" customWidth="1"/>
  </cols>
  <sheetData>
    <row r="1" spans="1:11" x14ac:dyDescent="0.3">
      <c r="A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6" t="s">
        <v>115</v>
      </c>
      <c r="K1" s="6" t="s">
        <v>116</v>
      </c>
    </row>
    <row r="2" spans="1:11" x14ac:dyDescent="0.3">
      <c r="A2" t="s">
        <v>118</v>
      </c>
      <c r="B2" t="s">
        <v>8</v>
      </c>
      <c r="C2" t="s">
        <v>9</v>
      </c>
      <c r="D2" t="s">
        <v>10</v>
      </c>
      <c r="E2">
        <v>0.25</v>
      </c>
      <c r="F2" t="s">
        <v>11</v>
      </c>
      <c r="G2" t="s">
        <v>12</v>
      </c>
      <c r="H2" s="4">
        <v>0.04</v>
      </c>
      <c r="I2" s="4">
        <f>SUM(H2:H6)</f>
        <v>0.39</v>
      </c>
      <c r="J2" s="5">
        <f>$I$19</f>
        <v>2.3400000000000003</v>
      </c>
      <c r="K2" s="7">
        <f>CEILING(($J$2*3),0.5)</f>
        <v>7.5</v>
      </c>
    </row>
    <row r="3" spans="1:11" x14ac:dyDescent="0.3">
      <c r="A3" t="s">
        <v>118</v>
      </c>
      <c r="B3" t="s">
        <v>8</v>
      </c>
      <c r="C3" t="s">
        <v>9</v>
      </c>
      <c r="D3" t="s">
        <v>13</v>
      </c>
      <c r="E3">
        <v>0.13</v>
      </c>
      <c r="F3" t="s">
        <v>14</v>
      </c>
      <c r="G3" t="s">
        <v>15</v>
      </c>
      <c r="H3" s="4">
        <v>0.01</v>
      </c>
      <c r="J3" s="5">
        <f t="shared" ref="J3:J19" si="0">$I$19</f>
        <v>2.3400000000000003</v>
      </c>
      <c r="K3" s="7">
        <f t="shared" ref="K3:K19" si="1">CEILING((J3*3),0.5)</f>
        <v>7.5</v>
      </c>
    </row>
    <row r="4" spans="1:11" x14ac:dyDescent="0.3">
      <c r="A4" t="s">
        <v>118</v>
      </c>
      <c r="B4" t="s">
        <v>8</v>
      </c>
      <c r="C4" t="s">
        <v>9</v>
      </c>
      <c r="D4" t="s">
        <v>16</v>
      </c>
      <c r="E4">
        <v>0.13</v>
      </c>
      <c r="F4" t="s">
        <v>14</v>
      </c>
      <c r="G4" t="s">
        <v>17</v>
      </c>
      <c r="H4" s="4">
        <v>0</v>
      </c>
      <c r="J4" s="5">
        <f t="shared" si="0"/>
        <v>2.3400000000000003</v>
      </c>
      <c r="K4" s="7">
        <f t="shared" si="1"/>
        <v>7.5</v>
      </c>
    </row>
    <row r="5" spans="1:11" x14ac:dyDescent="0.3">
      <c r="A5" t="s">
        <v>118</v>
      </c>
      <c r="B5" t="s">
        <v>8</v>
      </c>
      <c r="C5" t="s">
        <v>9</v>
      </c>
      <c r="D5" t="s">
        <v>18</v>
      </c>
      <c r="E5">
        <v>1</v>
      </c>
      <c r="F5" t="s">
        <v>14</v>
      </c>
      <c r="G5" t="s">
        <v>19</v>
      </c>
      <c r="H5" s="4">
        <v>0.08</v>
      </c>
      <c r="J5" s="5">
        <f t="shared" si="0"/>
        <v>2.3400000000000003</v>
      </c>
      <c r="K5" s="7">
        <f t="shared" si="1"/>
        <v>7.5</v>
      </c>
    </row>
    <row r="6" spans="1:11" x14ac:dyDescent="0.3">
      <c r="A6" t="s">
        <v>118</v>
      </c>
      <c r="B6" t="s">
        <v>8</v>
      </c>
      <c r="C6" t="s">
        <v>9</v>
      </c>
      <c r="D6" t="s">
        <v>20</v>
      </c>
      <c r="E6">
        <v>0.13</v>
      </c>
      <c r="F6" t="s">
        <v>11</v>
      </c>
      <c r="G6" t="s">
        <v>21</v>
      </c>
      <c r="H6" s="4">
        <v>0.26</v>
      </c>
      <c r="J6" s="5">
        <f t="shared" si="0"/>
        <v>2.3400000000000003</v>
      </c>
      <c r="K6" s="7">
        <f t="shared" si="1"/>
        <v>7.5</v>
      </c>
    </row>
    <row r="7" spans="1:11" x14ac:dyDescent="0.3">
      <c r="A7" t="s">
        <v>118</v>
      </c>
      <c r="B7" t="s">
        <v>8</v>
      </c>
      <c r="C7" t="s">
        <v>22</v>
      </c>
      <c r="D7" t="s">
        <v>23</v>
      </c>
      <c r="E7">
        <v>0.5</v>
      </c>
      <c r="F7" t="s">
        <v>24</v>
      </c>
      <c r="G7" t="s">
        <v>25</v>
      </c>
      <c r="H7" s="4">
        <v>1.5</v>
      </c>
      <c r="I7" s="4">
        <f>SUM(H7:H18)</f>
        <v>1.9500000000000004</v>
      </c>
      <c r="J7" s="5">
        <f t="shared" si="0"/>
        <v>2.3400000000000003</v>
      </c>
      <c r="K7" s="7">
        <f t="shared" si="1"/>
        <v>7.5</v>
      </c>
    </row>
    <row r="8" spans="1:11" x14ac:dyDescent="0.3">
      <c r="A8" t="s">
        <v>118</v>
      </c>
      <c r="B8" t="s">
        <v>8</v>
      </c>
      <c r="C8" t="s">
        <v>22</v>
      </c>
      <c r="D8" t="s">
        <v>26</v>
      </c>
      <c r="E8">
        <v>0.25</v>
      </c>
      <c r="F8" t="s">
        <v>11</v>
      </c>
      <c r="G8" t="s">
        <v>27</v>
      </c>
      <c r="H8" s="4">
        <v>0.1</v>
      </c>
      <c r="J8" s="5">
        <f t="shared" si="0"/>
        <v>2.3400000000000003</v>
      </c>
      <c r="K8" s="7">
        <f t="shared" si="1"/>
        <v>7.5</v>
      </c>
    </row>
    <row r="9" spans="1:11" x14ac:dyDescent="0.3">
      <c r="A9" t="s">
        <v>118</v>
      </c>
      <c r="B9" t="s">
        <v>8</v>
      </c>
      <c r="C9" t="s">
        <v>22</v>
      </c>
      <c r="D9" t="s">
        <v>28</v>
      </c>
      <c r="E9">
        <v>0.25</v>
      </c>
      <c r="F9" t="s">
        <v>29</v>
      </c>
      <c r="G9" t="s">
        <v>30</v>
      </c>
      <c r="H9" s="4">
        <v>0.05</v>
      </c>
      <c r="J9" s="5">
        <f t="shared" si="0"/>
        <v>2.3400000000000003</v>
      </c>
      <c r="K9" s="7">
        <f t="shared" si="1"/>
        <v>7.5</v>
      </c>
    </row>
    <row r="10" spans="1:11" x14ac:dyDescent="0.3">
      <c r="A10" t="s">
        <v>118</v>
      </c>
      <c r="B10" t="s">
        <v>8</v>
      </c>
      <c r="C10" t="s">
        <v>22</v>
      </c>
      <c r="D10" t="s">
        <v>31</v>
      </c>
      <c r="E10">
        <v>0.13</v>
      </c>
      <c r="F10" t="s">
        <v>11</v>
      </c>
      <c r="G10" t="s">
        <v>32</v>
      </c>
      <c r="H10" s="4">
        <v>0.09</v>
      </c>
      <c r="J10" s="5">
        <f t="shared" si="0"/>
        <v>2.3400000000000003</v>
      </c>
      <c r="K10" s="7">
        <f t="shared" si="1"/>
        <v>7.5</v>
      </c>
    </row>
    <row r="11" spans="1:11" x14ac:dyDescent="0.3">
      <c r="A11" t="s">
        <v>118</v>
      </c>
      <c r="B11" t="s">
        <v>8</v>
      </c>
      <c r="C11" t="s">
        <v>22</v>
      </c>
      <c r="D11" t="s">
        <v>33</v>
      </c>
      <c r="E11">
        <v>0.25</v>
      </c>
      <c r="F11" t="s">
        <v>14</v>
      </c>
      <c r="G11" t="s">
        <v>34</v>
      </c>
      <c r="H11" s="4">
        <v>0.03</v>
      </c>
      <c r="J11" s="5">
        <f t="shared" si="0"/>
        <v>2.3400000000000003</v>
      </c>
      <c r="K11" s="7">
        <f t="shared" si="1"/>
        <v>7.5</v>
      </c>
    </row>
    <row r="12" spans="1:11" x14ac:dyDescent="0.3">
      <c r="A12" t="s">
        <v>118</v>
      </c>
      <c r="B12" t="s">
        <v>8</v>
      </c>
      <c r="C12" t="s">
        <v>22</v>
      </c>
      <c r="D12" t="s">
        <v>10</v>
      </c>
      <c r="E12">
        <v>0.25</v>
      </c>
      <c r="F12" t="s">
        <v>11</v>
      </c>
      <c r="G12" t="s">
        <v>12</v>
      </c>
      <c r="H12" s="4">
        <v>0.04</v>
      </c>
      <c r="J12" s="5">
        <f t="shared" si="0"/>
        <v>2.3400000000000003</v>
      </c>
      <c r="K12" s="7">
        <f t="shared" si="1"/>
        <v>7.5</v>
      </c>
    </row>
    <row r="13" spans="1:11" x14ac:dyDescent="0.3">
      <c r="A13" t="s">
        <v>118</v>
      </c>
      <c r="B13" t="s">
        <v>8</v>
      </c>
      <c r="C13" t="s">
        <v>22</v>
      </c>
      <c r="D13" t="s">
        <v>35</v>
      </c>
      <c r="E13">
        <v>0.5</v>
      </c>
      <c r="F13" t="s">
        <v>14</v>
      </c>
      <c r="G13" t="s">
        <v>17</v>
      </c>
      <c r="H13" s="4">
        <v>0.01</v>
      </c>
      <c r="J13" s="5">
        <f t="shared" si="0"/>
        <v>2.3400000000000003</v>
      </c>
      <c r="K13" s="7">
        <f t="shared" si="1"/>
        <v>7.5</v>
      </c>
    </row>
    <row r="14" spans="1:11" x14ac:dyDescent="0.3">
      <c r="A14" t="s">
        <v>118</v>
      </c>
      <c r="B14" t="s">
        <v>8</v>
      </c>
      <c r="C14" t="s">
        <v>22</v>
      </c>
      <c r="D14" t="s">
        <v>36</v>
      </c>
      <c r="E14">
        <v>0.25</v>
      </c>
      <c r="F14" t="s">
        <v>14</v>
      </c>
      <c r="G14" t="s">
        <v>37</v>
      </c>
      <c r="H14" s="4">
        <v>0.04</v>
      </c>
      <c r="J14" s="5">
        <f t="shared" si="0"/>
        <v>2.3400000000000003</v>
      </c>
      <c r="K14" s="7">
        <f t="shared" si="1"/>
        <v>7.5</v>
      </c>
    </row>
    <row r="15" spans="1:11" x14ac:dyDescent="0.3">
      <c r="A15" t="s">
        <v>118</v>
      </c>
      <c r="B15" t="s">
        <v>8</v>
      </c>
      <c r="C15" t="s">
        <v>22</v>
      </c>
      <c r="D15" t="s">
        <v>16</v>
      </c>
      <c r="E15">
        <v>0.25</v>
      </c>
      <c r="F15" t="s">
        <v>14</v>
      </c>
      <c r="G15" t="s">
        <v>17</v>
      </c>
      <c r="H15" s="4">
        <v>0</v>
      </c>
      <c r="J15" s="5">
        <f t="shared" si="0"/>
        <v>2.3400000000000003</v>
      </c>
      <c r="K15" s="7">
        <f t="shared" si="1"/>
        <v>7.5</v>
      </c>
    </row>
    <row r="16" spans="1:11" x14ac:dyDescent="0.3">
      <c r="A16" t="s">
        <v>118</v>
      </c>
      <c r="B16" t="s">
        <v>8</v>
      </c>
      <c r="C16" t="s">
        <v>22</v>
      </c>
      <c r="D16" t="s">
        <v>38</v>
      </c>
      <c r="E16">
        <v>0.25</v>
      </c>
      <c r="F16" t="s">
        <v>14</v>
      </c>
      <c r="G16" t="s">
        <v>39</v>
      </c>
      <c r="H16" s="4">
        <v>0.05</v>
      </c>
      <c r="J16" s="5">
        <f t="shared" si="0"/>
        <v>2.3400000000000003</v>
      </c>
      <c r="K16" s="7">
        <f t="shared" si="1"/>
        <v>7.5</v>
      </c>
    </row>
    <row r="17" spans="1:11" x14ac:dyDescent="0.3">
      <c r="A17" t="s">
        <v>118</v>
      </c>
      <c r="B17" t="s">
        <v>8</v>
      </c>
      <c r="C17" t="s">
        <v>22</v>
      </c>
      <c r="D17" t="s">
        <v>40</v>
      </c>
      <c r="E17">
        <v>0.25</v>
      </c>
      <c r="F17" t="s">
        <v>14</v>
      </c>
      <c r="G17" t="s">
        <v>41</v>
      </c>
      <c r="H17" s="4">
        <v>0.04</v>
      </c>
      <c r="J17" s="5">
        <f t="shared" si="0"/>
        <v>2.3400000000000003</v>
      </c>
      <c r="K17" s="7">
        <f t="shared" si="1"/>
        <v>7.5</v>
      </c>
    </row>
    <row r="18" spans="1:11" x14ac:dyDescent="0.3">
      <c r="A18" t="s">
        <v>118</v>
      </c>
      <c r="B18" t="s">
        <v>8</v>
      </c>
      <c r="C18" t="s">
        <v>22</v>
      </c>
      <c r="D18" t="s">
        <v>42</v>
      </c>
      <c r="F18" t="s">
        <v>43</v>
      </c>
      <c r="G18" t="s">
        <v>44</v>
      </c>
      <c r="H18" s="4">
        <v>0</v>
      </c>
      <c r="J18" s="5">
        <f t="shared" si="0"/>
        <v>2.3400000000000003</v>
      </c>
      <c r="K18" s="7">
        <f t="shared" si="1"/>
        <v>7.5</v>
      </c>
    </row>
    <row r="19" spans="1:11" x14ac:dyDescent="0.3">
      <c r="A19" t="s">
        <v>118</v>
      </c>
      <c r="B19" s="2" t="s">
        <v>45</v>
      </c>
      <c r="C19" s="2" t="s">
        <v>43</v>
      </c>
      <c r="D19" s="2" t="s">
        <v>46</v>
      </c>
      <c r="E19" s="2"/>
      <c r="F19" s="2" t="s">
        <v>46</v>
      </c>
      <c r="G19" s="2" t="s">
        <v>46</v>
      </c>
      <c r="H19" s="5"/>
      <c r="I19" s="5">
        <f>SUM(I2:I18)</f>
        <v>2.3400000000000003</v>
      </c>
      <c r="J19" s="5">
        <f t="shared" si="0"/>
        <v>2.3400000000000003</v>
      </c>
      <c r="K19" s="7">
        <f t="shared" si="1"/>
        <v>7.5</v>
      </c>
    </row>
    <row r="20" spans="1:11" x14ac:dyDescent="0.3">
      <c r="A20" t="s">
        <v>118</v>
      </c>
      <c r="B20" t="s">
        <v>47</v>
      </c>
      <c r="C20" t="s">
        <v>9</v>
      </c>
      <c r="D20" t="s">
        <v>10</v>
      </c>
      <c r="E20">
        <v>0.25</v>
      </c>
      <c r="F20" t="s">
        <v>11</v>
      </c>
      <c r="G20" t="s">
        <v>12</v>
      </c>
      <c r="H20" s="4">
        <v>0.04</v>
      </c>
      <c r="I20" s="4">
        <f>SUM(H20:H24)</f>
        <v>0.39</v>
      </c>
      <c r="J20" s="5">
        <f>$I$32</f>
        <v>1.19</v>
      </c>
      <c r="K20" s="7">
        <f>CEILING(($J$20*3),0.5)</f>
        <v>4</v>
      </c>
    </row>
    <row r="21" spans="1:11" x14ac:dyDescent="0.3">
      <c r="A21" t="s">
        <v>118</v>
      </c>
      <c r="B21" t="s">
        <v>47</v>
      </c>
      <c r="C21" t="s">
        <v>9</v>
      </c>
      <c r="D21" t="s">
        <v>13</v>
      </c>
      <c r="E21">
        <v>0.13</v>
      </c>
      <c r="F21" t="s">
        <v>14</v>
      </c>
      <c r="G21" t="s">
        <v>15</v>
      </c>
      <c r="H21" s="4">
        <v>0.01</v>
      </c>
      <c r="J21" s="5">
        <f t="shared" ref="J21:J32" si="2">$I$32</f>
        <v>1.19</v>
      </c>
      <c r="K21" s="7">
        <f t="shared" ref="K21:K32" si="3">CEILING((J21*3),0.5)</f>
        <v>4</v>
      </c>
    </row>
    <row r="22" spans="1:11" x14ac:dyDescent="0.3">
      <c r="A22" t="s">
        <v>118</v>
      </c>
      <c r="B22" t="s">
        <v>47</v>
      </c>
      <c r="C22" t="s">
        <v>9</v>
      </c>
      <c r="D22" t="s">
        <v>16</v>
      </c>
      <c r="E22">
        <v>0.13</v>
      </c>
      <c r="F22" t="s">
        <v>14</v>
      </c>
      <c r="G22" t="s">
        <v>17</v>
      </c>
      <c r="H22" s="4">
        <v>0</v>
      </c>
      <c r="J22" s="5">
        <f t="shared" si="2"/>
        <v>1.19</v>
      </c>
      <c r="K22" s="7">
        <f t="shared" si="3"/>
        <v>4</v>
      </c>
    </row>
    <row r="23" spans="1:11" x14ac:dyDescent="0.3">
      <c r="A23" t="s">
        <v>118</v>
      </c>
      <c r="B23" t="s">
        <v>47</v>
      </c>
      <c r="C23" t="s">
        <v>9</v>
      </c>
      <c r="D23" t="s">
        <v>18</v>
      </c>
      <c r="E23">
        <v>1</v>
      </c>
      <c r="F23" t="s">
        <v>14</v>
      </c>
      <c r="G23" t="s">
        <v>19</v>
      </c>
      <c r="H23" s="4">
        <v>0.08</v>
      </c>
      <c r="J23" s="5">
        <f t="shared" si="2"/>
        <v>1.19</v>
      </c>
      <c r="K23" s="7">
        <f t="shared" si="3"/>
        <v>4</v>
      </c>
    </row>
    <row r="24" spans="1:11" x14ac:dyDescent="0.3">
      <c r="A24" t="s">
        <v>118</v>
      </c>
      <c r="B24" t="s">
        <v>47</v>
      </c>
      <c r="C24" t="s">
        <v>9</v>
      </c>
      <c r="D24" t="s">
        <v>20</v>
      </c>
      <c r="E24">
        <v>0.13</v>
      </c>
      <c r="F24" t="s">
        <v>11</v>
      </c>
      <c r="G24" t="s">
        <v>21</v>
      </c>
      <c r="H24" s="4">
        <v>0.26</v>
      </c>
      <c r="J24" s="5">
        <f t="shared" si="2"/>
        <v>1.19</v>
      </c>
      <c r="K24" s="7">
        <f t="shared" si="3"/>
        <v>4</v>
      </c>
    </row>
    <row r="25" spans="1:11" x14ac:dyDescent="0.3">
      <c r="A25" t="s">
        <v>118</v>
      </c>
      <c r="B25" t="s">
        <v>47</v>
      </c>
      <c r="C25" t="s">
        <v>48</v>
      </c>
      <c r="D25" t="s">
        <v>49</v>
      </c>
      <c r="E25">
        <v>2</v>
      </c>
      <c r="F25" t="s">
        <v>14</v>
      </c>
      <c r="G25" t="s">
        <v>50</v>
      </c>
      <c r="H25" s="4">
        <v>0</v>
      </c>
      <c r="I25" s="4">
        <f>SUM(H25:H31)</f>
        <v>0.8</v>
      </c>
      <c r="J25" s="5">
        <f t="shared" si="2"/>
        <v>1.19</v>
      </c>
      <c r="K25" s="7">
        <f t="shared" si="3"/>
        <v>4</v>
      </c>
    </row>
    <row r="26" spans="1:11" x14ac:dyDescent="0.3">
      <c r="A26" t="s">
        <v>118</v>
      </c>
      <c r="B26" t="s">
        <v>47</v>
      </c>
      <c r="C26" t="s">
        <v>48</v>
      </c>
      <c r="D26" t="s">
        <v>18</v>
      </c>
      <c r="E26">
        <v>2</v>
      </c>
      <c r="F26" t="s">
        <v>14</v>
      </c>
      <c r="G26" t="s">
        <v>19</v>
      </c>
      <c r="H26" s="4">
        <v>0.16</v>
      </c>
      <c r="J26" s="5">
        <f t="shared" si="2"/>
        <v>1.19</v>
      </c>
      <c r="K26" s="7">
        <f t="shared" si="3"/>
        <v>4</v>
      </c>
    </row>
    <row r="27" spans="1:11" x14ac:dyDescent="0.3">
      <c r="A27" t="s">
        <v>118</v>
      </c>
      <c r="B27" t="s">
        <v>47</v>
      </c>
      <c r="C27" t="s">
        <v>48</v>
      </c>
      <c r="D27" t="s">
        <v>10</v>
      </c>
      <c r="E27">
        <v>0.25</v>
      </c>
      <c r="F27" t="s">
        <v>11</v>
      </c>
      <c r="G27" t="s">
        <v>12</v>
      </c>
      <c r="H27" s="4">
        <v>0.04</v>
      </c>
      <c r="J27" s="5">
        <f t="shared" si="2"/>
        <v>1.19</v>
      </c>
      <c r="K27" s="7">
        <f t="shared" si="3"/>
        <v>4</v>
      </c>
    </row>
    <row r="28" spans="1:11" x14ac:dyDescent="0.3">
      <c r="A28" t="s">
        <v>118</v>
      </c>
      <c r="B28" t="s">
        <v>47</v>
      </c>
      <c r="C28" t="s">
        <v>48</v>
      </c>
      <c r="D28" t="s">
        <v>31</v>
      </c>
      <c r="E28">
        <v>2</v>
      </c>
      <c r="F28" t="s">
        <v>11</v>
      </c>
      <c r="G28" t="s">
        <v>32</v>
      </c>
      <c r="H28" s="4">
        <v>0.34</v>
      </c>
      <c r="J28" s="5">
        <f t="shared" si="2"/>
        <v>1.19</v>
      </c>
      <c r="K28" s="7">
        <f t="shared" si="3"/>
        <v>4</v>
      </c>
    </row>
    <row r="29" spans="1:11" x14ac:dyDescent="0.3">
      <c r="A29" t="s">
        <v>118</v>
      </c>
      <c r="B29" t="s">
        <v>47</v>
      </c>
      <c r="C29" t="s">
        <v>48</v>
      </c>
      <c r="D29" t="s">
        <v>16</v>
      </c>
      <c r="E29">
        <v>1</v>
      </c>
      <c r="F29" t="s">
        <v>14</v>
      </c>
      <c r="G29" t="s">
        <v>17</v>
      </c>
      <c r="H29" s="4">
        <v>0.02</v>
      </c>
      <c r="J29" s="5">
        <f t="shared" si="2"/>
        <v>1.19</v>
      </c>
      <c r="K29" s="7">
        <f t="shared" si="3"/>
        <v>4</v>
      </c>
    </row>
    <row r="30" spans="1:11" x14ac:dyDescent="0.3">
      <c r="A30" t="s">
        <v>118</v>
      </c>
      <c r="B30" t="s">
        <v>47</v>
      </c>
      <c r="C30" t="s">
        <v>48</v>
      </c>
      <c r="D30" t="s">
        <v>38</v>
      </c>
      <c r="E30">
        <v>1</v>
      </c>
      <c r="F30" t="s">
        <v>14</v>
      </c>
      <c r="G30" t="s">
        <v>39</v>
      </c>
      <c r="H30" s="4">
        <v>0.2</v>
      </c>
      <c r="J30" s="5">
        <f t="shared" si="2"/>
        <v>1.19</v>
      </c>
      <c r="K30" s="7">
        <f t="shared" si="3"/>
        <v>4</v>
      </c>
    </row>
    <row r="31" spans="1:11" x14ac:dyDescent="0.3">
      <c r="A31" t="s">
        <v>118</v>
      </c>
      <c r="B31" t="s">
        <v>47</v>
      </c>
      <c r="C31" t="s">
        <v>48</v>
      </c>
      <c r="D31" t="s">
        <v>51</v>
      </c>
      <c r="E31">
        <v>1</v>
      </c>
      <c r="F31" t="s">
        <v>52</v>
      </c>
      <c r="G31" t="s">
        <v>53</v>
      </c>
      <c r="H31" s="4">
        <v>0.04</v>
      </c>
      <c r="J31" s="5">
        <f t="shared" si="2"/>
        <v>1.19</v>
      </c>
      <c r="K31" s="7">
        <f t="shared" si="3"/>
        <v>4</v>
      </c>
    </row>
    <row r="32" spans="1:11" x14ac:dyDescent="0.3">
      <c r="A32" t="s">
        <v>118</v>
      </c>
      <c r="B32" s="2" t="s">
        <v>54</v>
      </c>
      <c r="C32" s="2" t="s">
        <v>43</v>
      </c>
      <c r="D32" s="2" t="s">
        <v>46</v>
      </c>
      <c r="E32" s="2"/>
      <c r="F32" s="2" t="s">
        <v>46</v>
      </c>
      <c r="G32" s="2" t="s">
        <v>46</v>
      </c>
      <c r="H32" s="5"/>
      <c r="I32" s="5">
        <f>SUM(I20:I31)</f>
        <v>1.19</v>
      </c>
      <c r="J32" s="5">
        <f t="shared" si="2"/>
        <v>1.19</v>
      </c>
      <c r="K32" s="7">
        <f t="shared" si="3"/>
        <v>4</v>
      </c>
    </row>
    <row r="33" spans="1:11" x14ac:dyDescent="0.3">
      <c r="A33" t="s">
        <v>118</v>
      </c>
      <c r="B33" t="s">
        <v>55</v>
      </c>
      <c r="C33" t="s">
        <v>56</v>
      </c>
      <c r="D33" t="s">
        <v>23</v>
      </c>
      <c r="E33">
        <v>0.5</v>
      </c>
      <c r="F33" t="s">
        <v>24</v>
      </c>
      <c r="G33" t="s">
        <v>25</v>
      </c>
      <c r="H33" s="4">
        <v>1.5</v>
      </c>
      <c r="I33" s="4">
        <f>SUM(H33:H44)</f>
        <v>1.9500000000000004</v>
      </c>
      <c r="J33" s="5">
        <f>$I$45</f>
        <v>1.95</v>
      </c>
      <c r="K33" s="7">
        <f>CEILING(($J$33*3),0.5)</f>
        <v>6</v>
      </c>
    </row>
    <row r="34" spans="1:11" x14ac:dyDescent="0.3">
      <c r="A34" t="s">
        <v>118</v>
      </c>
      <c r="B34" t="s">
        <v>55</v>
      </c>
      <c r="C34" t="s">
        <v>56</v>
      </c>
      <c r="D34" t="s">
        <v>26</v>
      </c>
      <c r="E34">
        <v>0.25</v>
      </c>
      <c r="F34" t="s">
        <v>11</v>
      </c>
      <c r="G34" t="s">
        <v>27</v>
      </c>
      <c r="H34" s="4">
        <v>0.1</v>
      </c>
      <c r="J34" s="5">
        <f t="shared" ref="J34:J45" si="4">$I$45</f>
        <v>1.95</v>
      </c>
      <c r="K34" s="7">
        <f t="shared" ref="K34:K44" si="5">CEILING((J34*3),0.5)</f>
        <v>6</v>
      </c>
    </row>
    <row r="35" spans="1:11" x14ac:dyDescent="0.3">
      <c r="A35" t="s">
        <v>118</v>
      </c>
      <c r="B35" t="s">
        <v>55</v>
      </c>
      <c r="C35" t="s">
        <v>56</v>
      </c>
      <c r="D35" t="s">
        <v>28</v>
      </c>
      <c r="E35">
        <v>0.25</v>
      </c>
      <c r="F35" t="s">
        <v>29</v>
      </c>
      <c r="G35" t="s">
        <v>30</v>
      </c>
      <c r="H35" s="4">
        <v>0.05</v>
      </c>
      <c r="J35" s="5">
        <f t="shared" si="4"/>
        <v>1.95</v>
      </c>
      <c r="K35" s="7">
        <f t="shared" si="5"/>
        <v>6</v>
      </c>
    </row>
    <row r="36" spans="1:11" x14ac:dyDescent="0.3">
      <c r="A36" t="s">
        <v>118</v>
      </c>
      <c r="B36" t="s">
        <v>55</v>
      </c>
      <c r="C36" t="s">
        <v>56</v>
      </c>
      <c r="D36" t="s">
        <v>31</v>
      </c>
      <c r="E36">
        <v>0.13</v>
      </c>
      <c r="F36" t="s">
        <v>11</v>
      </c>
      <c r="G36" t="s">
        <v>32</v>
      </c>
      <c r="H36" s="4">
        <v>0.09</v>
      </c>
      <c r="J36" s="5">
        <f t="shared" si="4"/>
        <v>1.95</v>
      </c>
      <c r="K36" s="7">
        <f t="shared" si="5"/>
        <v>6</v>
      </c>
    </row>
    <row r="37" spans="1:11" x14ac:dyDescent="0.3">
      <c r="A37" t="s">
        <v>118</v>
      </c>
      <c r="B37" t="s">
        <v>55</v>
      </c>
      <c r="C37" t="s">
        <v>56</v>
      </c>
      <c r="D37" t="s">
        <v>33</v>
      </c>
      <c r="E37">
        <v>0.25</v>
      </c>
      <c r="F37" t="s">
        <v>14</v>
      </c>
      <c r="G37" t="s">
        <v>34</v>
      </c>
      <c r="H37" s="4">
        <v>0.03</v>
      </c>
      <c r="J37" s="5">
        <f t="shared" si="4"/>
        <v>1.95</v>
      </c>
      <c r="K37" s="7">
        <f t="shared" si="5"/>
        <v>6</v>
      </c>
    </row>
    <row r="38" spans="1:11" x14ac:dyDescent="0.3">
      <c r="A38" t="s">
        <v>118</v>
      </c>
      <c r="B38" t="s">
        <v>55</v>
      </c>
      <c r="C38" t="s">
        <v>56</v>
      </c>
      <c r="D38" t="s">
        <v>10</v>
      </c>
      <c r="E38">
        <v>0.25</v>
      </c>
      <c r="F38" t="s">
        <v>11</v>
      </c>
      <c r="G38" t="s">
        <v>12</v>
      </c>
      <c r="H38" s="4">
        <v>0.04</v>
      </c>
      <c r="J38" s="5">
        <f t="shared" si="4"/>
        <v>1.95</v>
      </c>
      <c r="K38" s="7">
        <f t="shared" si="5"/>
        <v>6</v>
      </c>
    </row>
    <row r="39" spans="1:11" x14ac:dyDescent="0.3">
      <c r="A39" t="s">
        <v>118</v>
      </c>
      <c r="B39" t="s">
        <v>55</v>
      </c>
      <c r="C39" t="s">
        <v>56</v>
      </c>
      <c r="D39" t="s">
        <v>35</v>
      </c>
      <c r="E39">
        <v>0.5</v>
      </c>
      <c r="F39" t="s">
        <v>14</v>
      </c>
      <c r="G39" t="s">
        <v>17</v>
      </c>
      <c r="H39" s="4">
        <v>0.01</v>
      </c>
      <c r="J39" s="5">
        <f t="shared" si="4"/>
        <v>1.95</v>
      </c>
      <c r="K39" s="7">
        <f t="shared" si="5"/>
        <v>6</v>
      </c>
    </row>
    <row r="40" spans="1:11" x14ac:dyDescent="0.3">
      <c r="A40" t="s">
        <v>118</v>
      </c>
      <c r="B40" t="s">
        <v>55</v>
      </c>
      <c r="C40" t="s">
        <v>56</v>
      </c>
      <c r="D40" t="s">
        <v>36</v>
      </c>
      <c r="E40">
        <v>0.25</v>
      </c>
      <c r="F40" t="s">
        <v>14</v>
      </c>
      <c r="G40" t="s">
        <v>37</v>
      </c>
      <c r="H40" s="4">
        <v>0.04</v>
      </c>
      <c r="J40" s="5">
        <f t="shared" si="4"/>
        <v>1.95</v>
      </c>
      <c r="K40" s="7">
        <f t="shared" si="5"/>
        <v>6</v>
      </c>
    </row>
    <row r="41" spans="1:11" x14ac:dyDescent="0.3">
      <c r="A41" t="s">
        <v>118</v>
      </c>
      <c r="B41" t="s">
        <v>55</v>
      </c>
      <c r="C41" t="s">
        <v>56</v>
      </c>
      <c r="D41" t="s">
        <v>16</v>
      </c>
      <c r="E41">
        <v>0.25</v>
      </c>
      <c r="F41" t="s">
        <v>14</v>
      </c>
      <c r="G41" t="s">
        <v>17</v>
      </c>
      <c r="H41" s="4">
        <v>0</v>
      </c>
      <c r="J41" s="5">
        <f t="shared" si="4"/>
        <v>1.95</v>
      </c>
      <c r="K41" s="7">
        <f t="shared" si="5"/>
        <v>6</v>
      </c>
    </row>
    <row r="42" spans="1:11" x14ac:dyDescent="0.3">
      <c r="A42" t="s">
        <v>118</v>
      </c>
      <c r="B42" t="s">
        <v>55</v>
      </c>
      <c r="C42" t="s">
        <v>56</v>
      </c>
      <c r="D42" t="s">
        <v>38</v>
      </c>
      <c r="E42">
        <v>0.25</v>
      </c>
      <c r="F42" t="s">
        <v>14</v>
      </c>
      <c r="G42" t="s">
        <v>39</v>
      </c>
      <c r="H42" s="4">
        <v>0.05</v>
      </c>
      <c r="J42" s="5">
        <f t="shared" si="4"/>
        <v>1.95</v>
      </c>
      <c r="K42" s="7">
        <f t="shared" si="5"/>
        <v>6</v>
      </c>
    </row>
    <row r="43" spans="1:11" x14ac:dyDescent="0.3">
      <c r="A43" t="s">
        <v>118</v>
      </c>
      <c r="B43" t="s">
        <v>55</v>
      </c>
      <c r="C43" t="s">
        <v>56</v>
      </c>
      <c r="D43" t="s">
        <v>40</v>
      </c>
      <c r="E43">
        <v>0.25</v>
      </c>
      <c r="F43" t="s">
        <v>14</v>
      </c>
      <c r="G43" t="s">
        <v>41</v>
      </c>
      <c r="H43" s="4">
        <v>0.04</v>
      </c>
      <c r="J43" s="5">
        <f t="shared" si="4"/>
        <v>1.95</v>
      </c>
      <c r="K43" s="7">
        <f t="shared" si="5"/>
        <v>6</v>
      </c>
    </row>
    <row r="44" spans="1:11" x14ac:dyDescent="0.3">
      <c r="A44" t="s">
        <v>118</v>
      </c>
      <c r="B44" t="s">
        <v>55</v>
      </c>
      <c r="C44" t="s">
        <v>56</v>
      </c>
      <c r="D44" t="s">
        <v>42</v>
      </c>
      <c r="F44" t="s">
        <v>43</v>
      </c>
      <c r="G44" t="s">
        <v>44</v>
      </c>
      <c r="H44" s="4">
        <v>0</v>
      </c>
      <c r="J44" s="5">
        <f t="shared" si="4"/>
        <v>1.95</v>
      </c>
      <c r="K44" s="7">
        <f t="shared" si="5"/>
        <v>6</v>
      </c>
    </row>
    <row r="45" spans="1:11" x14ac:dyDescent="0.3">
      <c r="A45" t="s">
        <v>118</v>
      </c>
      <c r="B45" s="2" t="s">
        <v>57</v>
      </c>
      <c r="C45" s="2" t="s">
        <v>43</v>
      </c>
      <c r="D45" s="2" t="s">
        <v>46</v>
      </c>
      <c r="E45" s="2"/>
      <c r="F45" s="2" t="s">
        <v>46</v>
      </c>
      <c r="G45" s="2" t="s">
        <v>46</v>
      </c>
      <c r="H45" s="5"/>
      <c r="I45" s="5">
        <v>1.95</v>
      </c>
      <c r="J45" s="5">
        <f t="shared" si="4"/>
        <v>1.95</v>
      </c>
      <c r="K45" s="7">
        <f t="shared" ref="K45" si="6">CEILING((J45*3),0.5)</f>
        <v>6</v>
      </c>
    </row>
    <row r="46" spans="1:11" x14ac:dyDescent="0.3">
      <c r="A46" t="s">
        <v>118</v>
      </c>
      <c r="B46" t="s">
        <v>58</v>
      </c>
      <c r="C46" t="s">
        <v>22</v>
      </c>
      <c r="D46" t="s">
        <v>23</v>
      </c>
      <c r="E46">
        <v>0.5</v>
      </c>
      <c r="F46" t="s">
        <v>24</v>
      </c>
      <c r="G46" t="s">
        <v>25</v>
      </c>
      <c r="H46" s="4">
        <v>1.5</v>
      </c>
      <c r="I46" s="4">
        <f>SUM(H46:H57)</f>
        <v>1.9500000000000004</v>
      </c>
      <c r="J46" s="5">
        <f>$I$61</f>
        <v>2.4900000000000007</v>
      </c>
      <c r="K46" s="7">
        <f>CEILING(($J$46*3),0.5)</f>
        <v>7.5</v>
      </c>
    </row>
    <row r="47" spans="1:11" x14ac:dyDescent="0.3">
      <c r="A47" t="s">
        <v>118</v>
      </c>
      <c r="B47" t="s">
        <v>58</v>
      </c>
      <c r="C47" t="s">
        <v>22</v>
      </c>
      <c r="D47" t="s">
        <v>26</v>
      </c>
      <c r="E47">
        <v>0.25</v>
      </c>
      <c r="F47" t="s">
        <v>11</v>
      </c>
      <c r="G47" t="s">
        <v>27</v>
      </c>
      <c r="H47" s="4">
        <v>0.1</v>
      </c>
      <c r="J47" s="5">
        <f t="shared" ref="J47:J61" si="7">$I$61</f>
        <v>2.4900000000000007</v>
      </c>
      <c r="K47" s="7">
        <f t="shared" ref="K47:K61" si="8">CEILING((J47*3),0.5)</f>
        <v>7.5</v>
      </c>
    </row>
    <row r="48" spans="1:11" x14ac:dyDescent="0.3">
      <c r="A48" t="s">
        <v>118</v>
      </c>
      <c r="B48" t="s">
        <v>58</v>
      </c>
      <c r="C48" t="s">
        <v>22</v>
      </c>
      <c r="D48" t="s">
        <v>28</v>
      </c>
      <c r="E48">
        <v>0.25</v>
      </c>
      <c r="F48" t="s">
        <v>29</v>
      </c>
      <c r="G48" t="s">
        <v>30</v>
      </c>
      <c r="H48" s="4">
        <v>0.05</v>
      </c>
      <c r="J48" s="5">
        <f t="shared" si="7"/>
        <v>2.4900000000000007</v>
      </c>
      <c r="K48" s="7">
        <f t="shared" si="8"/>
        <v>7.5</v>
      </c>
    </row>
    <row r="49" spans="1:11" x14ac:dyDescent="0.3">
      <c r="A49" t="s">
        <v>118</v>
      </c>
      <c r="B49" t="s">
        <v>58</v>
      </c>
      <c r="C49" t="s">
        <v>22</v>
      </c>
      <c r="D49" t="s">
        <v>31</v>
      </c>
      <c r="E49">
        <v>0.13</v>
      </c>
      <c r="F49" t="s">
        <v>11</v>
      </c>
      <c r="G49" t="s">
        <v>32</v>
      </c>
      <c r="H49" s="4">
        <v>0.09</v>
      </c>
      <c r="J49" s="5">
        <f t="shared" si="7"/>
        <v>2.4900000000000007</v>
      </c>
      <c r="K49" s="7">
        <f t="shared" si="8"/>
        <v>7.5</v>
      </c>
    </row>
    <row r="50" spans="1:11" x14ac:dyDescent="0.3">
      <c r="A50" t="s">
        <v>118</v>
      </c>
      <c r="B50" t="s">
        <v>58</v>
      </c>
      <c r="C50" t="s">
        <v>22</v>
      </c>
      <c r="D50" t="s">
        <v>33</v>
      </c>
      <c r="E50">
        <v>0.25</v>
      </c>
      <c r="F50" t="s">
        <v>14</v>
      </c>
      <c r="G50" t="s">
        <v>34</v>
      </c>
      <c r="H50" s="4">
        <v>0.03</v>
      </c>
      <c r="J50" s="5">
        <f t="shared" si="7"/>
        <v>2.4900000000000007</v>
      </c>
      <c r="K50" s="7">
        <f t="shared" si="8"/>
        <v>7.5</v>
      </c>
    </row>
    <row r="51" spans="1:11" x14ac:dyDescent="0.3">
      <c r="A51" t="s">
        <v>118</v>
      </c>
      <c r="B51" t="s">
        <v>58</v>
      </c>
      <c r="C51" t="s">
        <v>22</v>
      </c>
      <c r="D51" t="s">
        <v>10</v>
      </c>
      <c r="E51">
        <v>0.25</v>
      </c>
      <c r="F51" t="s">
        <v>11</v>
      </c>
      <c r="G51" t="s">
        <v>12</v>
      </c>
      <c r="H51" s="4">
        <v>0.04</v>
      </c>
      <c r="J51" s="5">
        <f t="shared" si="7"/>
        <v>2.4900000000000007</v>
      </c>
      <c r="K51" s="7">
        <f t="shared" si="8"/>
        <v>7.5</v>
      </c>
    </row>
    <row r="52" spans="1:11" x14ac:dyDescent="0.3">
      <c r="A52" t="s">
        <v>118</v>
      </c>
      <c r="B52" t="s">
        <v>58</v>
      </c>
      <c r="C52" t="s">
        <v>22</v>
      </c>
      <c r="D52" t="s">
        <v>35</v>
      </c>
      <c r="E52">
        <v>0.5</v>
      </c>
      <c r="F52" t="s">
        <v>14</v>
      </c>
      <c r="G52" t="s">
        <v>17</v>
      </c>
      <c r="H52" s="4">
        <v>0.01</v>
      </c>
      <c r="J52" s="5">
        <f t="shared" si="7"/>
        <v>2.4900000000000007</v>
      </c>
      <c r="K52" s="7">
        <f t="shared" si="8"/>
        <v>7.5</v>
      </c>
    </row>
    <row r="53" spans="1:11" x14ac:dyDescent="0.3">
      <c r="A53" t="s">
        <v>118</v>
      </c>
      <c r="B53" t="s">
        <v>58</v>
      </c>
      <c r="C53" t="s">
        <v>22</v>
      </c>
      <c r="D53" t="s">
        <v>36</v>
      </c>
      <c r="E53">
        <v>0.25</v>
      </c>
      <c r="F53" t="s">
        <v>14</v>
      </c>
      <c r="G53" t="s">
        <v>37</v>
      </c>
      <c r="H53" s="4">
        <v>0.04</v>
      </c>
      <c r="J53" s="5">
        <f t="shared" si="7"/>
        <v>2.4900000000000007</v>
      </c>
      <c r="K53" s="7">
        <f t="shared" si="8"/>
        <v>7.5</v>
      </c>
    </row>
    <row r="54" spans="1:11" x14ac:dyDescent="0.3">
      <c r="A54" t="s">
        <v>118</v>
      </c>
      <c r="B54" t="s">
        <v>58</v>
      </c>
      <c r="C54" t="s">
        <v>22</v>
      </c>
      <c r="D54" t="s">
        <v>16</v>
      </c>
      <c r="E54">
        <v>0.25</v>
      </c>
      <c r="F54" t="s">
        <v>14</v>
      </c>
      <c r="G54" t="s">
        <v>17</v>
      </c>
      <c r="H54" s="4">
        <v>0</v>
      </c>
      <c r="J54" s="5">
        <f t="shared" si="7"/>
        <v>2.4900000000000007</v>
      </c>
      <c r="K54" s="7">
        <f t="shared" si="8"/>
        <v>7.5</v>
      </c>
    </row>
    <row r="55" spans="1:11" x14ac:dyDescent="0.3">
      <c r="A55" t="s">
        <v>118</v>
      </c>
      <c r="B55" t="s">
        <v>58</v>
      </c>
      <c r="C55" t="s">
        <v>22</v>
      </c>
      <c r="D55" t="s">
        <v>38</v>
      </c>
      <c r="E55">
        <v>0.25</v>
      </c>
      <c r="F55" t="s">
        <v>14</v>
      </c>
      <c r="G55" t="s">
        <v>39</v>
      </c>
      <c r="H55" s="4">
        <v>0.05</v>
      </c>
      <c r="J55" s="5">
        <f t="shared" si="7"/>
        <v>2.4900000000000007</v>
      </c>
      <c r="K55" s="7">
        <f t="shared" si="8"/>
        <v>7.5</v>
      </c>
    </row>
    <row r="56" spans="1:11" x14ac:dyDescent="0.3">
      <c r="A56" t="s">
        <v>118</v>
      </c>
      <c r="B56" t="s">
        <v>58</v>
      </c>
      <c r="C56" t="s">
        <v>22</v>
      </c>
      <c r="D56" t="s">
        <v>40</v>
      </c>
      <c r="E56">
        <v>0.25</v>
      </c>
      <c r="F56" t="s">
        <v>14</v>
      </c>
      <c r="G56" t="s">
        <v>41</v>
      </c>
      <c r="H56" s="4">
        <v>0.04</v>
      </c>
      <c r="J56" s="5">
        <f t="shared" si="7"/>
        <v>2.4900000000000007</v>
      </c>
      <c r="K56" s="7">
        <f t="shared" si="8"/>
        <v>7.5</v>
      </c>
    </row>
    <row r="57" spans="1:11" x14ac:dyDescent="0.3">
      <c r="A57" t="s">
        <v>118</v>
      </c>
      <c r="B57" t="s">
        <v>58</v>
      </c>
      <c r="C57" t="s">
        <v>22</v>
      </c>
      <c r="D57" t="s">
        <v>42</v>
      </c>
      <c r="F57" t="s">
        <v>43</v>
      </c>
      <c r="G57" t="s">
        <v>44</v>
      </c>
      <c r="H57" s="4">
        <v>0</v>
      </c>
      <c r="J57" s="5">
        <f t="shared" si="7"/>
        <v>2.4900000000000007</v>
      </c>
      <c r="K57" s="7">
        <f t="shared" si="8"/>
        <v>7.5</v>
      </c>
    </row>
    <row r="58" spans="1:11" x14ac:dyDescent="0.3">
      <c r="A58" t="s">
        <v>118</v>
      </c>
      <c r="B58" t="s">
        <v>58</v>
      </c>
      <c r="C58" t="s">
        <v>59</v>
      </c>
      <c r="D58" t="s">
        <v>60</v>
      </c>
      <c r="E58">
        <v>1</v>
      </c>
      <c r="F58" t="s">
        <v>61</v>
      </c>
      <c r="G58" t="s">
        <v>62</v>
      </c>
      <c r="H58" s="4">
        <v>0.3</v>
      </c>
      <c r="I58" s="4">
        <f>SUM(H58:H59)</f>
        <v>0.33999999999999997</v>
      </c>
      <c r="J58" s="5">
        <f t="shared" si="7"/>
        <v>2.4900000000000007</v>
      </c>
      <c r="K58" s="7">
        <f t="shared" si="8"/>
        <v>7.5</v>
      </c>
    </row>
    <row r="59" spans="1:11" x14ac:dyDescent="0.3">
      <c r="A59" t="s">
        <v>118</v>
      </c>
      <c r="B59" t="s">
        <v>58</v>
      </c>
      <c r="C59" t="s">
        <v>59</v>
      </c>
      <c r="D59" t="s">
        <v>18</v>
      </c>
      <c r="E59">
        <v>0.5</v>
      </c>
      <c r="F59" t="s">
        <v>14</v>
      </c>
      <c r="G59" t="s">
        <v>19</v>
      </c>
      <c r="H59" s="4">
        <v>0.04</v>
      </c>
      <c r="J59" s="5">
        <f t="shared" si="7"/>
        <v>2.4900000000000007</v>
      </c>
      <c r="K59" s="7">
        <f t="shared" si="8"/>
        <v>7.5</v>
      </c>
    </row>
    <row r="60" spans="1:11" x14ac:dyDescent="0.3">
      <c r="A60" t="s">
        <v>118</v>
      </c>
      <c r="B60" t="s">
        <v>58</v>
      </c>
      <c r="C60" t="s">
        <v>63</v>
      </c>
      <c r="D60" t="s">
        <v>64</v>
      </c>
      <c r="E60">
        <v>0.01</v>
      </c>
      <c r="F60" t="s">
        <v>65</v>
      </c>
      <c r="G60" t="s">
        <v>66</v>
      </c>
      <c r="H60" s="4">
        <v>0.2</v>
      </c>
      <c r="I60" s="4">
        <f>SUM(H60)</f>
        <v>0.2</v>
      </c>
      <c r="J60" s="5">
        <f t="shared" si="7"/>
        <v>2.4900000000000007</v>
      </c>
      <c r="K60" s="7">
        <f t="shared" si="8"/>
        <v>7.5</v>
      </c>
    </row>
    <row r="61" spans="1:11" x14ac:dyDescent="0.3">
      <c r="A61" t="s">
        <v>118</v>
      </c>
      <c r="B61" s="2" t="s">
        <v>67</v>
      </c>
      <c r="C61" s="2" t="s">
        <v>43</v>
      </c>
      <c r="D61" s="2" t="s">
        <v>46</v>
      </c>
      <c r="E61" s="2"/>
      <c r="F61" s="2" t="s">
        <v>46</v>
      </c>
      <c r="G61" s="2" t="s">
        <v>46</v>
      </c>
      <c r="H61" s="5"/>
      <c r="I61" s="5">
        <f>SUM(I46:I60)</f>
        <v>2.4900000000000007</v>
      </c>
      <c r="J61" s="5">
        <f t="shared" si="7"/>
        <v>2.4900000000000007</v>
      </c>
      <c r="K61" s="7">
        <f t="shared" si="8"/>
        <v>7.5</v>
      </c>
    </row>
    <row r="62" spans="1:11" x14ac:dyDescent="0.3">
      <c r="A62" t="s">
        <v>118</v>
      </c>
      <c r="B62" t="s">
        <v>68</v>
      </c>
      <c r="C62" t="s">
        <v>69</v>
      </c>
      <c r="D62" t="s">
        <v>70</v>
      </c>
      <c r="E62">
        <v>2</v>
      </c>
      <c r="F62" t="s">
        <v>11</v>
      </c>
      <c r="G62" t="s">
        <v>71</v>
      </c>
      <c r="H62" s="4">
        <v>0.375</v>
      </c>
      <c r="I62" s="4">
        <f>SUM(H62:H68)</f>
        <v>1.2950000000000002</v>
      </c>
      <c r="J62" s="5">
        <f>$I$74</f>
        <v>2.0650000000000004</v>
      </c>
      <c r="K62" s="7">
        <f>CEILING((J62*3),0.5)</f>
        <v>6.5</v>
      </c>
    </row>
    <row r="63" spans="1:11" x14ac:dyDescent="0.3">
      <c r="A63" t="s">
        <v>118</v>
      </c>
      <c r="B63" t="s">
        <v>68</v>
      </c>
      <c r="C63" t="s">
        <v>69</v>
      </c>
      <c r="D63" t="s">
        <v>16</v>
      </c>
      <c r="E63">
        <v>0.25</v>
      </c>
      <c r="F63" t="s">
        <v>14</v>
      </c>
      <c r="G63" t="s">
        <v>17</v>
      </c>
      <c r="H63" s="4">
        <v>0</v>
      </c>
      <c r="J63" s="5">
        <f t="shared" ref="J63:J74" si="9">$I$74</f>
        <v>2.0650000000000004</v>
      </c>
      <c r="K63" s="7">
        <f>CEILING(($J$64*3),0.5)</f>
        <v>6.5</v>
      </c>
    </row>
    <row r="64" spans="1:11" x14ac:dyDescent="0.3">
      <c r="A64" t="s">
        <v>118</v>
      </c>
      <c r="B64" t="s">
        <v>68</v>
      </c>
      <c r="C64" t="s">
        <v>69</v>
      </c>
      <c r="D64" t="s">
        <v>72</v>
      </c>
      <c r="E64">
        <v>0.25</v>
      </c>
      <c r="F64" t="s">
        <v>14</v>
      </c>
      <c r="G64" t="s">
        <v>39</v>
      </c>
      <c r="H64" s="4">
        <v>0.05</v>
      </c>
      <c r="J64" s="5">
        <f t="shared" si="9"/>
        <v>2.0650000000000004</v>
      </c>
      <c r="K64" s="7">
        <f t="shared" ref="K64:K74" si="10">CEILING(($J$64*3),0.5)</f>
        <v>6.5</v>
      </c>
    </row>
    <row r="65" spans="1:11" x14ac:dyDescent="0.3">
      <c r="A65" t="s">
        <v>118</v>
      </c>
      <c r="B65" t="s">
        <v>68</v>
      </c>
      <c r="C65" t="s">
        <v>69</v>
      </c>
      <c r="D65" t="s">
        <v>23</v>
      </c>
      <c r="E65">
        <v>0.25</v>
      </c>
      <c r="F65" t="s">
        <v>24</v>
      </c>
      <c r="G65" t="s">
        <v>25</v>
      </c>
      <c r="H65" s="4">
        <v>0.75</v>
      </c>
      <c r="J65" s="5">
        <f t="shared" si="9"/>
        <v>2.0650000000000004</v>
      </c>
      <c r="K65" s="7">
        <f t="shared" si="10"/>
        <v>6.5</v>
      </c>
    </row>
    <row r="66" spans="1:11" x14ac:dyDescent="0.3">
      <c r="A66" t="s">
        <v>118</v>
      </c>
      <c r="B66" t="s">
        <v>68</v>
      </c>
      <c r="C66" t="s">
        <v>69</v>
      </c>
      <c r="D66" t="s">
        <v>73</v>
      </c>
      <c r="E66">
        <v>1.25</v>
      </c>
      <c r="F66" t="s">
        <v>74</v>
      </c>
      <c r="G66" t="s">
        <v>75</v>
      </c>
      <c r="H66" s="4">
        <v>0.05</v>
      </c>
      <c r="J66" s="5">
        <f t="shared" si="9"/>
        <v>2.0650000000000004</v>
      </c>
      <c r="K66" s="7">
        <f t="shared" si="10"/>
        <v>6.5</v>
      </c>
    </row>
    <row r="67" spans="1:11" x14ac:dyDescent="0.3">
      <c r="A67" t="s">
        <v>118</v>
      </c>
      <c r="B67" t="s">
        <v>68</v>
      </c>
      <c r="C67" t="s">
        <v>69</v>
      </c>
      <c r="D67" t="s">
        <v>76</v>
      </c>
      <c r="E67">
        <v>1.25</v>
      </c>
      <c r="F67" t="s">
        <v>74</v>
      </c>
      <c r="G67" t="s">
        <v>75</v>
      </c>
      <c r="H67" s="4">
        <v>0.05</v>
      </c>
      <c r="J67" s="5">
        <f t="shared" si="9"/>
        <v>2.0650000000000004</v>
      </c>
      <c r="K67" s="7">
        <f t="shared" si="10"/>
        <v>6.5</v>
      </c>
    </row>
    <row r="68" spans="1:11" x14ac:dyDescent="0.3">
      <c r="A68" t="s">
        <v>118</v>
      </c>
      <c r="B68" t="s">
        <v>68</v>
      </c>
      <c r="C68" t="s">
        <v>69</v>
      </c>
      <c r="D68" t="s">
        <v>77</v>
      </c>
      <c r="E68">
        <v>0.5</v>
      </c>
      <c r="F68" t="s">
        <v>74</v>
      </c>
      <c r="G68" t="s">
        <v>75</v>
      </c>
      <c r="H68" s="4">
        <v>0.02</v>
      </c>
      <c r="J68" s="5">
        <f t="shared" si="9"/>
        <v>2.0650000000000004</v>
      </c>
      <c r="K68" s="7">
        <f t="shared" si="10"/>
        <v>6.5</v>
      </c>
    </row>
    <row r="69" spans="1:11" x14ac:dyDescent="0.3">
      <c r="A69" t="s">
        <v>118</v>
      </c>
      <c r="B69" t="s">
        <v>68</v>
      </c>
      <c r="C69" t="s">
        <v>78</v>
      </c>
      <c r="D69" t="s">
        <v>10</v>
      </c>
      <c r="E69">
        <v>0.5</v>
      </c>
      <c r="F69" t="s">
        <v>11</v>
      </c>
      <c r="G69" t="s">
        <v>12</v>
      </c>
      <c r="H69" s="4">
        <v>0.08</v>
      </c>
      <c r="I69" s="4">
        <f>SUM(H69:H73)</f>
        <v>0.77</v>
      </c>
      <c r="J69" s="5">
        <f t="shared" si="9"/>
        <v>2.0650000000000004</v>
      </c>
      <c r="K69" s="7">
        <f t="shared" si="10"/>
        <v>6.5</v>
      </c>
    </row>
    <row r="70" spans="1:11" x14ac:dyDescent="0.3">
      <c r="A70" t="s">
        <v>118</v>
      </c>
      <c r="B70" t="s">
        <v>68</v>
      </c>
      <c r="C70" t="s">
        <v>78</v>
      </c>
      <c r="D70" t="s">
        <v>13</v>
      </c>
      <c r="E70">
        <v>0.25</v>
      </c>
      <c r="F70" t="s">
        <v>14</v>
      </c>
      <c r="G70" t="s">
        <v>15</v>
      </c>
      <c r="H70" s="4">
        <v>0.03</v>
      </c>
      <c r="J70" s="5">
        <f t="shared" si="9"/>
        <v>2.0650000000000004</v>
      </c>
      <c r="K70" s="7">
        <f t="shared" si="10"/>
        <v>6.5</v>
      </c>
    </row>
    <row r="71" spans="1:11" x14ac:dyDescent="0.3">
      <c r="A71" t="s">
        <v>118</v>
      </c>
      <c r="B71" t="s">
        <v>68</v>
      </c>
      <c r="C71" t="s">
        <v>78</v>
      </c>
      <c r="D71" t="s">
        <v>16</v>
      </c>
      <c r="E71">
        <v>0.25</v>
      </c>
      <c r="F71" t="s">
        <v>14</v>
      </c>
      <c r="G71" t="s">
        <v>17</v>
      </c>
      <c r="H71" s="4">
        <v>0</v>
      </c>
      <c r="J71" s="5">
        <f t="shared" si="9"/>
        <v>2.0650000000000004</v>
      </c>
      <c r="K71" s="7">
        <f t="shared" si="10"/>
        <v>6.5</v>
      </c>
    </row>
    <row r="72" spans="1:11" x14ac:dyDescent="0.3">
      <c r="A72" t="s">
        <v>118</v>
      </c>
      <c r="B72" t="s">
        <v>68</v>
      </c>
      <c r="C72" t="s">
        <v>78</v>
      </c>
      <c r="D72" t="s">
        <v>18</v>
      </c>
      <c r="E72">
        <v>2</v>
      </c>
      <c r="F72" t="s">
        <v>14</v>
      </c>
      <c r="G72" t="s">
        <v>19</v>
      </c>
      <c r="H72" s="4">
        <v>0.16</v>
      </c>
      <c r="J72" s="5">
        <f t="shared" si="9"/>
        <v>2.0650000000000004</v>
      </c>
      <c r="K72" s="7">
        <f t="shared" si="10"/>
        <v>6.5</v>
      </c>
    </row>
    <row r="73" spans="1:11" x14ac:dyDescent="0.3">
      <c r="A73" t="s">
        <v>118</v>
      </c>
      <c r="B73" t="s">
        <v>68</v>
      </c>
      <c r="C73" t="s">
        <v>78</v>
      </c>
      <c r="D73" t="s">
        <v>20</v>
      </c>
      <c r="E73">
        <v>0.25</v>
      </c>
      <c r="F73" t="s">
        <v>11</v>
      </c>
      <c r="G73" t="s">
        <v>21</v>
      </c>
      <c r="H73" s="4">
        <v>0.5</v>
      </c>
      <c r="J73" s="5">
        <f t="shared" si="9"/>
        <v>2.0650000000000004</v>
      </c>
      <c r="K73" s="7">
        <f t="shared" si="10"/>
        <v>6.5</v>
      </c>
    </row>
    <row r="74" spans="1:11" x14ac:dyDescent="0.3">
      <c r="A74" t="s">
        <v>118</v>
      </c>
      <c r="B74" s="2" t="s">
        <v>79</v>
      </c>
      <c r="C74" s="2" t="s">
        <v>43</v>
      </c>
      <c r="D74" s="2" t="s">
        <v>46</v>
      </c>
      <c r="E74" s="2"/>
      <c r="F74" s="2" t="s">
        <v>46</v>
      </c>
      <c r="G74" s="2" t="s">
        <v>46</v>
      </c>
      <c r="H74" s="5"/>
      <c r="I74" s="5">
        <f>SUM(I62:I73)</f>
        <v>2.0650000000000004</v>
      </c>
      <c r="J74" s="5">
        <f t="shared" si="9"/>
        <v>2.0650000000000004</v>
      </c>
      <c r="K74" s="7">
        <f t="shared" si="10"/>
        <v>6.5</v>
      </c>
    </row>
    <row r="75" spans="1:11" x14ac:dyDescent="0.3">
      <c r="A75" t="s">
        <v>118</v>
      </c>
      <c r="B75" t="s">
        <v>80</v>
      </c>
      <c r="C75" t="s">
        <v>81</v>
      </c>
      <c r="D75" t="s">
        <v>82</v>
      </c>
      <c r="E75">
        <v>2.25</v>
      </c>
      <c r="F75" t="s">
        <v>24</v>
      </c>
      <c r="G75" t="s">
        <v>83</v>
      </c>
      <c r="H75" s="4">
        <v>3.71</v>
      </c>
      <c r="I75" s="4">
        <f>SUM(H75:H82)</f>
        <v>4.59</v>
      </c>
      <c r="J75" s="5">
        <f>$I$95</f>
        <v>6.66</v>
      </c>
      <c r="K75" s="7">
        <f>CEILING(($J$75*3),0.5)</f>
        <v>20</v>
      </c>
    </row>
    <row r="76" spans="1:11" x14ac:dyDescent="0.3">
      <c r="A76" t="s">
        <v>118</v>
      </c>
      <c r="B76" t="s">
        <v>80</v>
      </c>
      <c r="C76" t="s">
        <v>81</v>
      </c>
      <c r="D76" t="s">
        <v>84</v>
      </c>
      <c r="E76">
        <v>1.5</v>
      </c>
      <c r="F76" t="s">
        <v>14</v>
      </c>
      <c r="G76" t="s">
        <v>85</v>
      </c>
      <c r="H76" s="4">
        <v>0.15</v>
      </c>
      <c r="J76" s="5">
        <f t="shared" ref="J76:J95" si="11">$I$95</f>
        <v>6.66</v>
      </c>
      <c r="K76" s="7">
        <f t="shared" ref="K76:K95" si="12">CEILING(($J$75*3),0.5)</f>
        <v>20</v>
      </c>
    </row>
    <row r="77" spans="1:11" x14ac:dyDescent="0.3">
      <c r="A77" t="s">
        <v>118</v>
      </c>
      <c r="B77" t="s">
        <v>80</v>
      </c>
      <c r="C77" t="s">
        <v>81</v>
      </c>
      <c r="D77" t="s">
        <v>16</v>
      </c>
      <c r="E77">
        <v>1</v>
      </c>
      <c r="F77" t="s">
        <v>14</v>
      </c>
      <c r="G77" t="s">
        <v>17</v>
      </c>
      <c r="H77" s="4">
        <v>0.02</v>
      </c>
      <c r="J77" s="5">
        <f t="shared" si="11"/>
        <v>6.66</v>
      </c>
      <c r="K77" s="7">
        <f t="shared" si="12"/>
        <v>20</v>
      </c>
    </row>
    <row r="78" spans="1:11" x14ac:dyDescent="0.3">
      <c r="A78" t="s">
        <v>118</v>
      </c>
      <c r="B78" t="s">
        <v>80</v>
      </c>
      <c r="C78" t="s">
        <v>81</v>
      </c>
      <c r="D78" t="s">
        <v>72</v>
      </c>
      <c r="E78">
        <v>1</v>
      </c>
      <c r="F78" t="s">
        <v>14</v>
      </c>
      <c r="G78" t="s">
        <v>39</v>
      </c>
      <c r="H78" s="4">
        <v>0.2</v>
      </c>
      <c r="J78" s="5">
        <f t="shared" si="11"/>
        <v>6.66</v>
      </c>
      <c r="K78" s="7">
        <f t="shared" si="12"/>
        <v>20</v>
      </c>
    </row>
    <row r="79" spans="1:11" x14ac:dyDescent="0.3">
      <c r="A79" t="s">
        <v>118</v>
      </c>
      <c r="B79" t="s">
        <v>80</v>
      </c>
      <c r="C79" t="s">
        <v>81</v>
      </c>
      <c r="D79" t="s">
        <v>40</v>
      </c>
      <c r="E79">
        <v>1</v>
      </c>
      <c r="F79" t="s">
        <v>14</v>
      </c>
      <c r="G79" t="s">
        <v>41</v>
      </c>
      <c r="H79" s="4">
        <v>0.16</v>
      </c>
      <c r="J79" s="5">
        <f t="shared" si="11"/>
        <v>6.66</v>
      </c>
      <c r="K79" s="7">
        <f t="shared" si="12"/>
        <v>20</v>
      </c>
    </row>
    <row r="80" spans="1:11" x14ac:dyDescent="0.3">
      <c r="A80" t="s">
        <v>118</v>
      </c>
      <c r="B80" t="s">
        <v>80</v>
      </c>
      <c r="C80" t="s">
        <v>81</v>
      </c>
      <c r="D80" t="s">
        <v>86</v>
      </c>
      <c r="E80">
        <v>1</v>
      </c>
      <c r="F80" t="s">
        <v>14</v>
      </c>
      <c r="G80" t="s">
        <v>53</v>
      </c>
      <c r="H80" s="4">
        <v>0.1</v>
      </c>
      <c r="J80" s="5">
        <f t="shared" si="11"/>
        <v>6.66</v>
      </c>
      <c r="K80" s="7">
        <f t="shared" si="12"/>
        <v>20</v>
      </c>
    </row>
    <row r="81" spans="1:11" x14ac:dyDescent="0.3">
      <c r="A81" t="s">
        <v>118</v>
      </c>
      <c r="B81" t="s">
        <v>80</v>
      </c>
      <c r="C81" t="s">
        <v>81</v>
      </c>
      <c r="D81" t="s">
        <v>87</v>
      </c>
      <c r="E81">
        <v>1</v>
      </c>
      <c r="F81" t="s">
        <v>14</v>
      </c>
      <c r="G81" t="s">
        <v>39</v>
      </c>
      <c r="H81" s="4">
        <v>0.13</v>
      </c>
      <c r="J81" s="5">
        <f t="shared" si="11"/>
        <v>6.66</v>
      </c>
      <c r="K81" s="7">
        <f t="shared" si="12"/>
        <v>20</v>
      </c>
    </row>
    <row r="82" spans="1:11" x14ac:dyDescent="0.3">
      <c r="A82" t="s">
        <v>118</v>
      </c>
      <c r="B82" t="s">
        <v>80</v>
      </c>
      <c r="C82" t="s">
        <v>81</v>
      </c>
      <c r="D82" t="s">
        <v>18</v>
      </c>
      <c r="E82">
        <v>1.5</v>
      </c>
      <c r="F82" t="s">
        <v>14</v>
      </c>
      <c r="G82" t="s">
        <v>19</v>
      </c>
      <c r="H82" s="4">
        <v>0.12</v>
      </c>
      <c r="J82" s="5">
        <f t="shared" si="11"/>
        <v>6.66</v>
      </c>
      <c r="K82" s="7">
        <f t="shared" si="12"/>
        <v>20</v>
      </c>
    </row>
    <row r="83" spans="1:11" x14ac:dyDescent="0.3">
      <c r="A83" t="s">
        <v>118</v>
      </c>
      <c r="B83" t="s">
        <v>80</v>
      </c>
      <c r="C83" t="s">
        <v>69</v>
      </c>
      <c r="D83" t="s">
        <v>70</v>
      </c>
      <c r="E83">
        <v>4</v>
      </c>
      <c r="F83" t="s">
        <v>11</v>
      </c>
      <c r="G83" t="s">
        <v>71</v>
      </c>
      <c r="H83" s="4">
        <v>0.38</v>
      </c>
      <c r="I83" s="4">
        <f>SUM(H83:H89)</f>
        <v>1.3</v>
      </c>
      <c r="J83" s="5">
        <f t="shared" si="11"/>
        <v>6.66</v>
      </c>
      <c r="K83" s="7">
        <f t="shared" si="12"/>
        <v>20</v>
      </c>
    </row>
    <row r="84" spans="1:11" x14ac:dyDescent="0.3">
      <c r="A84" t="s">
        <v>118</v>
      </c>
      <c r="B84" t="s">
        <v>80</v>
      </c>
      <c r="C84" t="s">
        <v>69</v>
      </c>
      <c r="D84" t="s">
        <v>16</v>
      </c>
      <c r="E84">
        <v>0.25</v>
      </c>
      <c r="F84" t="s">
        <v>14</v>
      </c>
      <c r="G84" t="s">
        <v>17</v>
      </c>
      <c r="H84" s="4">
        <v>0</v>
      </c>
      <c r="J84" s="5">
        <f t="shared" si="11"/>
        <v>6.66</v>
      </c>
      <c r="K84" s="7">
        <f t="shared" si="12"/>
        <v>20</v>
      </c>
    </row>
    <row r="85" spans="1:11" x14ac:dyDescent="0.3">
      <c r="A85" t="s">
        <v>118</v>
      </c>
      <c r="B85" t="s">
        <v>80</v>
      </c>
      <c r="C85" t="s">
        <v>69</v>
      </c>
      <c r="D85" t="s">
        <v>72</v>
      </c>
      <c r="E85">
        <v>0.25</v>
      </c>
      <c r="F85" t="s">
        <v>14</v>
      </c>
      <c r="G85" t="s">
        <v>39</v>
      </c>
      <c r="H85" s="4">
        <v>0.05</v>
      </c>
      <c r="J85" s="5">
        <f t="shared" si="11"/>
        <v>6.66</v>
      </c>
      <c r="K85" s="7">
        <f t="shared" si="12"/>
        <v>20</v>
      </c>
    </row>
    <row r="86" spans="1:11" x14ac:dyDescent="0.3">
      <c r="A86" t="s">
        <v>118</v>
      </c>
      <c r="B86" t="s">
        <v>80</v>
      </c>
      <c r="C86" t="s">
        <v>69</v>
      </c>
      <c r="D86" t="s">
        <v>23</v>
      </c>
      <c r="E86">
        <v>0.25</v>
      </c>
      <c r="F86" t="s">
        <v>24</v>
      </c>
      <c r="G86" t="s">
        <v>25</v>
      </c>
      <c r="H86" s="4">
        <v>0.75</v>
      </c>
      <c r="J86" s="5">
        <f t="shared" si="11"/>
        <v>6.66</v>
      </c>
      <c r="K86" s="7">
        <f t="shared" si="12"/>
        <v>20</v>
      </c>
    </row>
    <row r="87" spans="1:11" x14ac:dyDescent="0.3">
      <c r="A87" t="s">
        <v>118</v>
      </c>
      <c r="B87" t="s">
        <v>80</v>
      </c>
      <c r="C87" t="s">
        <v>69</v>
      </c>
      <c r="D87" t="s">
        <v>73</v>
      </c>
      <c r="E87">
        <v>1.25</v>
      </c>
      <c r="F87" t="s">
        <v>74</v>
      </c>
      <c r="G87" t="s">
        <v>75</v>
      </c>
      <c r="H87" s="4">
        <v>0.05</v>
      </c>
      <c r="J87" s="5">
        <f t="shared" si="11"/>
        <v>6.66</v>
      </c>
      <c r="K87" s="7">
        <f t="shared" si="12"/>
        <v>20</v>
      </c>
    </row>
    <row r="88" spans="1:11" x14ac:dyDescent="0.3">
      <c r="A88" t="s">
        <v>118</v>
      </c>
      <c r="B88" t="s">
        <v>80</v>
      </c>
      <c r="C88" t="s">
        <v>69</v>
      </c>
      <c r="D88" t="s">
        <v>76</v>
      </c>
      <c r="E88">
        <v>1.25</v>
      </c>
      <c r="F88" t="s">
        <v>74</v>
      </c>
      <c r="G88" t="s">
        <v>75</v>
      </c>
      <c r="H88" s="4">
        <v>0.05</v>
      </c>
      <c r="J88" s="5">
        <f t="shared" si="11"/>
        <v>6.66</v>
      </c>
      <c r="K88" s="7">
        <f t="shared" si="12"/>
        <v>20</v>
      </c>
    </row>
    <row r="89" spans="1:11" x14ac:dyDescent="0.3">
      <c r="A89" t="s">
        <v>118</v>
      </c>
      <c r="B89" t="s">
        <v>80</v>
      </c>
      <c r="C89" t="s">
        <v>69</v>
      </c>
      <c r="D89" t="s">
        <v>77</v>
      </c>
      <c r="E89">
        <v>0.5</v>
      </c>
      <c r="F89" t="s">
        <v>74</v>
      </c>
      <c r="G89" t="s">
        <v>75</v>
      </c>
      <c r="H89" s="4">
        <v>0.02</v>
      </c>
      <c r="J89" s="5">
        <f t="shared" si="11"/>
        <v>6.66</v>
      </c>
      <c r="K89" s="7">
        <f t="shared" si="12"/>
        <v>20</v>
      </c>
    </row>
    <row r="90" spans="1:11" x14ac:dyDescent="0.3">
      <c r="A90" t="s">
        <v>118</v>
      </c>
      <c r="B90" t="s">
        <v>80</v>
      </c>
      <c r="C90" t="s">
        <v>78</v>
      </c>
      <c r="D90" t="s">
        <v>10</v>
      </c>
      <c r="E90">
        <v>0.5</v>
      </c>
      <c r="F90" t="s">
        <v>11</v>
      </c>
      <c r="G90" t="s">
        <v>12</v>
      </c>
      <c r="H90" s="4">
        <v>0.08</v>
      </c>
      <c r="I90" s="4">
        <f>SUM(H90:H94)</f>
        <v>0.77</v>
      </c>
      <c r="J90" s="5">
        <f t="shared" si="11"/>
        <v>6.66</v>
      </c>
      <c r="K90" s="7">
        <f t="shared" si="12"/>
        <v>20</v>
      </c>
    </row>
    <row r="91" spans="1:11" x14ac:dyDescent="0.3">
      <c r="A91" t="s">
        <v>118</v>
      </c>
      <c r="B91" t="s">
        <v>80</v>
      </c>
      <c r="C91" t="s">
        <v>78</v>
      </c>
      <c r="D91" t="s">
        <v>13</v>
      </c>
      <c r="E91">
        <v>0.25</v>
      </c>
      <c r="F91" t="s">
        <v>14</v>
      </c>
      <c r="G91" t="s">
        <v>15</v>
      </c>
      <c r="H91" s="4">
        <v>0.03</v>
      </c>
      <c r="J91" s="5">
        <f t="shared" si="11"/>
        <v>6.66</v>
      </c>
      <c r="K91" s="7">
        <f t="shared" si="12"/>
        <v>20</v>
      </c>
    </row>
    <row r="92" spans="1:11" x14ac:dyDescent="0.3">
      <c r="A92" t="s">
        <v>118</v>
      </c>
      <c r="B92" t="s">
        <v>80</v>
      </c>
      <c r="C92" t="s">
        <v>78</v>
      </c>
      <c r="D92" t="s">
        <v>16</v>
      </c>
      <c r="E92">
        <v>0.25</v>
      </c>
      <c r="F92" t="s">
        <v>14</v>
      </c>
      <c r="G92" t="s">
        <v>17</v>
      </c>
      <c r="H92" s="4">
        <v>0</v>
      </c>
      <c r="J92" s="5">
        <f t="shared" si="11"/>
        <v>6.66</v>
      </c>
      <c r="K92" s="7">
        <f t="shared" si="12"/>
        <v>20</v>
      </c>
    </row>
    <row r="93" spans="1:11" x14ac:dyDescent="0.3">
      <c r="A93" t="s">
        <v>118</v>
      </c>
      <c r="B93" t="s">
        <v>80</v>
      </c>
      <c r="C93" t="s">
        <v>78</v>
      </c>
      <c r="D93" t="s">
        <v>18</v>
      </c>
      <c r="E93">
        <v>2</v>
      </c>
      <c r="F93" t="s">
        <v>14</v>
      </c>
      <c r="G93" t="s">
        <v>19</v>
      </c>
      <c r="H93" s="4">
        <v>0.16</v>
      </c>
      <c r="J93" s="5">
        <f t="shared" si="11"/>
        <v>6.66</v>
      </c>
      <c r="K93" s="7">
        <f t="shared" si="12"/>
        <v>20</v>
      </c>
    </row>
    <row r="94" spans="1:11" x14ac:dyDescent="0.3">
      <c r="A94" t="s">
        <v>118</v>
      </c>
      <c r="B94" t="s">
        <v>80</v>
      </c>
      <c r="C94" t="s">
        <v>78</v>
      </c>
      <c r="D94" t="s">
        <v>20</v>
      </c>
      <c r="E94">
        <v>0.25</v>
      </c>
      <c r="F94" t="s">
        <v>11</v>
      </c>
      <c r="G94" t="s">
        <v>21</v>
      </c>
      <c r="H94" s="4">
        <v>0.5</v>
      </c>
      <c r="J94" s="5">
        <f t="shared" si="11"/>
        <v>6.66</v>
      </c>
      <c r="K94" s="7">
        <f t="shared" si="12"/>
        <v>20</v>
      </c>
    </row>
    <row r="95" spans="1:11" x14ac:dyDescent="0.3">
      <c r="A95" t="s">
        <v>118</v>
      </c>
      <c r="B95" s="2" t="s">
        <v>88</v>
      </c>
      <c r="C95" s="2" t="s">
        <v>43</v>
      </c>
      <c r="D95" s="2" t="s">
        <v>46</v>
      </c>
      <c r="E95" s="2"/>
      <c r="F95" s="2" t="s">
        <v>46</v>
      </c>
      <c r="G95" s="2" t="s">
        <v>46</v>
      </c>
      <c r="H95" s="5"/>
      <c r="I95" s="5">
        <f>SUM(I75:I94)</f>
        <v>6.66</v>
      </c>
      <c r="J95" s="5">
        <f t="shared" si="11"/>
        <v>6.66</v>
      </c>
      <c r="K95" s="7">
        <f t="shared" si="12"/>
        <v>20</v>
      </c>
    </row>
    <row r="96" spans="1:11" x14ac:dyDescent="0.3">
      <c r="A96" t="s">
        <v>119</v>
      </c>
      <c r="B96" t="s">
        <v>89</v>
      </c>
      <c r="C96" t="s">
        <v>90</v>
      </c>
      <c r="D96" t="s">
        <v>91</v>
      </c>
      <c r="E96">
        <v>1</v>
      </c>
      <c r="F96" t="s">
        <v>92</v>
      </c>
      <c r="G96" t="s">
        <v>93</v>
      </c>
      <c r="H96" s="4">
        <v>0.5</v>
      </c>
      <c r="I96" s="4">
        <f>SUM(H96:H106)</f>
        <v>0.97000000000000031</v>
      </c>
      <c r="J96" s="5">
        <f>$I$107</f>
        <v>0.97000000000000031</v>
      </c>
      <c r="K96" s="7">
        <f>CEILING(($J$96*3),0.5)</f>
        <v>3</v>
      </c>
    </row>
    <row r="97" spans="1:11" x14ac:dyDescent="0.3">
      <c r="A97" t="s">
        <v>119</v>
      </c>
      <c r="B97" t="s">
        <v>89</v>
      </c>
      <c r="C97" t="s">
        <v>90</v>
      </c>
      <c r="D97" t="s">
        <v>31</v>
      </c>
      <c r="E97">
        <v>0.25</v>
      </c>
      <c r="F97" t="s">
        <v>11</v>
      </c>
      <c r="G97" t="s">
        <v>32</v>
      </c>
      <c r="H97" s="4">
        <v>0.17</v>
      </c>
      <c r="J97" s="5">
        <v>0.8</v>
      </c>
      <c r="K97" s="7">
        <f t="shared" ref="K97:K107" si="13">CEILING(($J$96*3),0.5)</f>
        <v>3</v>
      </c>
    </row>
    <row r="98" spans="1:11" x14ac:dyDescent="0.3">
      <c r="A98" t="s">
        <v>119</v>
      </c>
      <c r="B98" t="s">
        <v>89</v>
      </c>
      <c r="C98" t="s">
        <v>90</v>
      </c>
      <c r="D98" t="s">
        <v>28</v>
      </c>
      <c r="E98">
        <v>0.25</v>
      </c>
      <c r="F98" t="s">
        <v>29</v>
      </c>
      <c r="G98" t="s">
        <v>30</v>
      </c>
      <c r="H98" s="4">
        <v>0.05</v>
      </c>
      <c r="J98" s="5">
        <v>0.8</v>
      </c>
      <c r="K98" s="7">
        <f t="shared" si="13"/>
        <v>3</v>
      </c>
    </row>
    <row r="99" spans="1:11" x14ac:dyDescent="0.3">
      <c r="A99" t="s">
        <v>119</v>
      </c>
      <c r="B99" t="s">
        <v>89</v>
      </c>
      <c r="C99" t="s">
        <v>90</v>
      </c>
      <c r="D99" t="s">
        <v>10</v>
      </c>
      <c r="E99">
        <v>0.25</v>
      </c>
      <c r="F99" t="s">
        <v>11</v>
      </c>
      <c r="G99" t="s">
        <v>12</v>
      </c>
      <c r="H99" s="4">
        <v>0.04</v>
      </c>
      <c r="J99" s="5">
        <v>0.8</v>
      </c>
      <c r="K99" s="7">
        <f t="shared" si="13"/>
        <v>3</v>
      </c>
    </row>
    <row r="100" spans="1:11" x14ac:dyDescent="0.3">
      <c r="A100" t="s">
        <v>119</v>
      </c>
      <c r="B100" t="s">
        <v>89</v>
      </c>
      <c r="C100" t="s">
        <v>90</v>
      </c>
      <c r="D100" t="s">
        <v>94</v>
      </c>
      <c r="E100">
        <v>0.5</v>
      </c>
      <c r="F100" t="s">
        <v>14</v>
      </c>
      <c r="G100" t="s">
        <v>95</v>
      </c>
      <c r="H100" s="4">
        <v>0.01</v>
      </c>
      <c r="J100" s="5">
        <v>0.8</v>
      </c>
      <c r="K100" s="7">
        <f t="shared" si="13"/>
        <v>3</v>
      </c>
    </row>
    <row r="101" spans="1:11" x14ac:dyDescent="0.3">
      <c r="A101" t="s">
        <v>119</v>
      </c>
      <c r="B101" t="s">
        <v>89</v>
      </c>
      <c r="C101" t="s">
        <v>90</v>
      </c>
      <c r="D101" t="s">
        <v>96</v>
      </c>
      <c r="E101">
        <v>0.25</v>
      </c>
      <c r="F101" t="s">
        <v>14</v>
      </c>
      <c r="G101" t="s">
        <v>41</v>
      </c>
      <c r="H101" s="4">
        <v>0.04</v>
      </c>
      <c r="J101" s="5">
        <v>0.8</v>
      </c>
      <c r="K101" s="7">
        <f t="shared" si="13"/>
        <v>3</v>
      </c>
    </row>
    <row r="102" spans="1:11" x14ac:dyDescent="0.3">
      <c r="A102" t="s">
        <v>119</v>
      </c>
      <c r="B102" t="s">
        <v>89</v>
      </c>
      <c r="C102" t="s">
        <v>90</v>
      </c>
      <c r="D102" t="s">
        <v>38</v>
      </c>
      <c r="E102">
        <v>0.25</v>
      </c>
      <c r="F102" t="s">
        <v>14</v>
      </c>
      <c r="G102" t="s">
        <v>39</v>
      </c>
      <c r="H102" s="4">
        <v>0.05</v>
      </c>
      <c r="J102" s="5">
        <v>0.8</v>
      </c>
      <c r="K102" s="7">
        <f t="shared" si="13"/>
        <v>3</v>
      </c>
    </row>
    <row r="103" spans="1:11" x14ac:dyDescent="0.3">
      <c r="A103" t="s">
        <v>119</v>
      </c>
      <c r="B103" t="s">
        <v>89</v>
      </c>
      <c r="C103" t="s">
        <v>90</v>
      </c>
      <c r="D103" t="s">
        <v>40</v>
      </c>
      <c r="E103">
        <v>0.25</v>
      </c>
      <c r="F103" t="s">
        <v>14</v>
      </c>
      <c r="G103" t="s">
        <v>41</v>
      </c>
      <c r="H103" s="4">
        <v>0.04</v>
      </c>
      <c r="J103" s="5">
        <v>0.8</v>
      </c>
      <c r="K103" s="7">
        <f t="shared" si="13"/>
        <v>3</v>
      </c>
    </row>
    <row r="104" spans="1:11" x14ac:dyDescent="0.3">
      <c r="A104" t="s">
        <v>119</v>
      </c>
      <c r="B104" t="s">
        <v>89</v>
      </c>
      <c r="C104" t="s">
        <v>90</v>
      </c>
      <c r="D104" t="s">
        <v>36</v>
      </c>
      <c r="E104">
        <v>0.25</v>
      </c>
      <c r="F104" t="s">
        <v>14</v>
      </c>
      <c r="G104" t="s">
        <v>37</v>
      </c>
      <c r="H104" s="4">
        <v>0.04</v>
      </c>
      <c r="J104" s="5">
        <v>0.8</v>
      </c>
      <c r="K104" s="7">
        <f t="shared" si="13"/>
        <v>3</v>
      </c>
    </row>
    <row r="105" spans="1:11" x14ac:dyDescent="0.3">
      <c r="A105" t="s">
        <v>119</v>
      </c>
      <c r="B105" t="s">
        <v>89</v>
      </c>
      <c r="C105" t="s">
        <v>90</v>
      </c>
      <c r="D105" t="s">
        <v>86</v>
      </c>
      <c r="E105">
        <v>0.25</v>
      </c>
      <c r="F105" t="s">
        <v>14</v>
      </c>
      <c r="G105" t="s">
        <v>53</v>
      </c>
      <c r="H105" s="4">
        <v>0.03</v>
      </c>
      <c r="J105" s="5">
        <v>0.8</v>
      </c>
      <c r="K105" s="7">
        <f t="shared" si="13"/>
        <v>3</v>
      </c>
    </row>
    <row r="106" spans="1:11" x14ac:dyDescent="0.3">
      <c r="A106" t="s">
        <v>119</v>
      </c>
      <c r="B106" t="s">
        <v>89</v>
      </c>
      <c r="C106" t="s">
        <v>90</v>
      </c>
      <c r="D106" t="s">
        <v>42</v>
      </c>
      <c r="F106" t="s">
        <v>43</v>
      </c>
      <c r="G106" t="s">
        <v>44</v>
      </c>
      <c r="H106" s="4">
        <v>0</v>
      </c>
      <c r="J106" s="5">
        <v>0.8</v>
      </c>
      <c r="K106" s="7">
        <f t="shared" si="13"/>
        <v>3</v>
      </c>
    </row>
    <row r="107" spans="1:11" x14ac:dyDescent="0.3">
      <c r="A107" t="s">
        <v>119</v>
      </c>
      <c r="B107" s="2" t="s">
        <v>97</v>
      </c>
      <c r="C107" s="2" t="s">
        <v>43</v>
      </c>
      <c r="D107" s="2" t="s">
        <v>46</v>
      </c>
      <c r="E107" s="2"/>
      <c r="F107" s="2" t="s">
        <v>46</v>
      </c>
      <c r="G107" s="2" t="s">
        <v>46</v>
      </c>
      <c r="H107" s="5"/>
      <c r="I107" s="5">
        <f>SUM(I96:I106)</f>
        <v>0.97000000000000031</v>
      </c>
      <c r="J107" s="5">
        <v>0.8</v>
      </c>
      <c r="K107" s="7">
        <f t="shared" si="13"/>
        <v>3</v>
      </c>
    </row>
    <row r="108" spans="1:11" x14ac:dyDescent="0.3">
      <c r="A108" t="s">
        <v>119</v>
      </c>
      <c r="B108" t="s">
        <v>48</v>
      </c>
      <c r="C108" t="s">
        <v>48</v>
      </c>
      <c r="D108" t="s">
        <v>49</v>
      </c>
      <c r="E108">
        <v>1</v>
      </c>
      <c r="F108" t="s">
        <v>14</v>
      </c>
      <c r="G108" t="s">
        <v>50</v>
      </c>
      <c r="H108" s="4">
        <v>0</v>
      </c>
      <c r="I108" s="4">
        <f>SUM(H108:H114)</f>
        <v>0.4</v>
      </c>
      <c r="J108" s="5">
        <f>$I$115</f>
        <v>0.4</v>
      </c>
      <c r="K108" s="7">
        <f>CEILING((J108*3),0.5)</f>
        <v>1.5</v>
      </c>
    </row>
    <row r="109" spans="1:11" x14ac:dyDescent="0.3">
      <c r="A109" t="s">
        <v>119</v>
      </c>
      <c r="B109" t="s">
        <v>48</v>
      </c>
      <c r="C109" t="s">
        <v>48</v>
      </c>
      <c r="D109" t="s">
        <v>18</v>
      </c>
      <c r="E109">
        <v>1</v>
      </c>
      <c r="F109" t="s">
        <v>14</v>
      </c>
      <c r="G109" t="s">
        <v>19</v>
      </c>
      <c r="H109" s="4">
        <v>0.08</v>
      </c>
      <c r="J109" s="5">
        <f t="shared" ref="J109:J115" si="14">$I$115</f>
        <v>0.4</v>
      </c>
      <c r="K109" s="7">
        <f t="shared" ref="K109:K115" si="15">CEILING((J109*3),0.5)</f>
        <v>1.5</v>
      </c>
    </row>
    <row r="110" spans="1:11" x14ac:dyDescent="0.3">
      <c r="A110" t="s">
        <v>119</v>
      </c>
      <c r="B110" t="s">
        <v>48</v>
      </c>
      <c r="C110" t="s">
        <v>48</v>
      </c>
      <c r="D110" t="s">
        <v>10</v>
      </c>
      <c r="E110">
        <v>0.13</v>
      </c>
      <c r="F110" t="s">
        <v>11</v>
      </c>
      <c r="G110" t="s">
        <v>12</v>
      </c>
      <c r="H110" s="4">
        <v>0.02</v>
      </c>
      <c r="J110" s="5">
        <f t="shared" si="14"/>
        <v>0.4</v>
      </c>
      <c r="K110" s="7">
        <f t="shared" si="15"/>
        <v>1.5</v>
      </c>
    </row>
    <row r="111" spans="1:11" x14ac:dyDescent="0.3">
      <c r="A111" t="s">
        <v>119</v>
      </c>
      <c r="B111" t="s">
        <v>48</v>
      </c>
      <c r="C111" t="s">
        <v>48</v>
      </c>
      <c r="D111" t="s">
        <v>31</v>
      </c>
      <c r="E111">
        <v>1</v>
      </c>
      <c r="F111" t="s">
        <v>11</v>
      </c>
      <c r="G111" t="s">
        <v>32</v>
      </c>
      <c r="H111" s="4">
        <v>0.17</v>
      </c>
      <c r="J111" s="5">
        <f t="shared" si="14"/>
        <v>0.4</v>
      </c>
      <c r="K111" s="7">
        <f t="shared" si="15"/>
        <v>1.5</v>
      </c>
    </row>
    <row r="112" spans="1:11" x14ac:dyDescent="0.3">
      <c r="A112" t="s">
        <v>119</v>
      </c>
      <c r="B112" t="s">
        <v>48</v>
      </c>
      <c r="C112" t="s">
        <v>48</v>
      </c>
      <c r="D112" t="s">
        <v>16</v>
      </c>
      <c r="E112">
        <v>0.5</v>
      </c>
      <c r="F112" t="s">
        <v>14</v>
      </c>
      <c r="G112" t="s">
        <v>17</v>
      </c>
      <c r="H112" s="4">
        <v>0.01</v>
      </c>
      <c r="J112" s="5">
        <f t="shared" si="14"/>
        <v>0.4</v>
      </c>
      <c r="K112" s="7">
        <f t="shared" si="15"/>
        <v>1.5</v>
      </c>
    </row>
    <row r="113" spans="1:11" x14ac:dyDescent="0.3">
      <c r="A113" t="s">
        <v>119</v>
      </c>
      <c r="B113" t="s">
        <v>48</v>
      </c>
      <c r="C113" t="s">
        <v>48</v>
      </c>
      <c r="D113" t="s">
        <v>38</v>
      </c>
      <c r="E113">
        <v>0.5</v>
      </c>
      <c r="F113" t="s">
        <v>14</v>
      </c>
      <c r="G113" t="s">
        <v>39</v>
      </c>
      <c r="H113" s="4">
        <v>0.1</v>
      </c>
      <c r="J113" s="5">
        <f t="shared" si="14"/>
        <v>0.4</v>
      </c>
      <c r="K113" s="7">
        <f t="shared" si="15"/>
        <v>1.5</v>
      </c>
    </row>
    <row r="114" spans="1:11" x14ac:dyDescent="0.3">
      <c r="A114" t="s">
        <v>119</v>
      </c>
      <c r="B114" t="s">
        <v>48</v>
      </c>
      <c r="C114" t="s">
        <v>48</v>
      </c>
      <c r="D114" t="s">
        <v>51</v>
      </c>
      <c r="E114">
        <v>0.5</v>
      </c>
      <c r="F114" t="s">
        <v>52</v>
      </c>
      <c r="G114" t="s">
        <v>53</v>
      </c>
      <c r="H114" s="4">
        <v>0.02</v>
      </c>
      <c r="J114" s="5">
        <f t="shared" si="14"/>
        <v>0.4</v>
      </c>
      <c r="K114" s="7">
        <f t="shared" si="15"/>
        <v>1.5</v>
      </c>
    </row>
    <row r="115" spans="1:11" x14ac:dyDescent="0.3">
      <c r="A115" t="s">
        <v>119</v>
      </c>
      <c r="B115" s="2" t="s">
        <v>98</v>
      </c>
      <c r="C115" s="2" t="s">
        <v>43</v>
      </c>
      <c r="D115" s="2" t="s">
        <v>46</v>
      </c>
      <c r="E115" s="2"/>
      <c r="F115" s="2" t="s">
        <v>46</v>
      </c>
      <c r="G115" s="2" t="s">
        <v>46</v>
      </c>
      <c r="H115" s="5"/>
      <c r="I115" s="5">
        <f>SUM(I108:I114)</f>
        <v>0.4</v>
      </c>
      <c r="J115" s="5">
        <f t="shared" si="14"/>
        <v>0.4</v>
      </c>
      <c r="K115" s="7">
        <f t="shared" si="15"/>
        <v>1.5</v>
      </c>
    </row>
    <row r="116" spans="1:11" x14ac:dyDescent="0.3">
      <c r="A116" t="s">
        <v>119</v>
      </c>
      <c r="B116" t="s">
        <v>99</v>
      </c>
      <c r="C116" t="s">
        <v>9</v>
      </c>
      <c r="D116" t="s">
        <v>10</v>
      </c>
      <c r="E116">
        <v>0.25</v>
      </c>
      <c r="F116" t="s">
        <v>11</v>
      </c>
      <c r="G116" t="s">
        <v>12</v>
      </c>
      <c r="H116" s="4">
        <v>0.04</v>
      </c>
      <c r="I116" s="4">
        <f>SUM(H116:H120)</f>
        <v>0.39</v>
      </c>
      <c r="J116" s="5">
        <f>$I$121</f>
        <v>0.39</v>
      </c>
      <c r="K116" s="7">
        <f>CEILING((J116*3),0.5)</f>
        <v>1.5</v>
      </c>
    </row>
    <row r="117" spans="1:11" x14ac:dyDescent="0.3">
      <c r="A117" t="s">
        <v>119</v>
      </c>
      <c r="B117" t="s">
        <v>99</v>
      </c>
      <c r="C117" t="s">
        <v>9</v>
      </c>
      <c r="D117" t="s">
        <v>13</v>
      </c>
      <c r="E117">
        <v>0.13</v>
      </c>
      <c r="F117" t="s">
        <v>14</v>
      </c>
      <c r="G117" t="s">
        <v>15</v>
      </c>
      <c r="H117" s="4">
        <v>0.01</v>
      </c>
      <c r="J117" s="5">
        <f t="shared" ref="J117:J120" si="16">$I$121</f>
        <v>0.39</v>
      </c>
      <c r="K117" s="7">
        <f t="shared" ref="K117:K121" si="17">CEILING((J117*3),0.5)</f>
        <v>1.5</v>
      </c>
    </row>
    <row r="118" spans="1:11" x14ac:dyDescent="0.3">
      <c r="A118" t="s">
        <v>119</v>
      </c>
      <c r="B118" t="s">
        <v>99</v>
      </c>
      <c r="C118" t="s">
        <v>9</v>
      </c>
      <c r="D118" t="s">
        <v>16</v>
      </c>
      <c r="E118">
        <v>0.13</v>
      </c>
      <c r="F118" t="s">
        <v>14</v>
      </c>
      <c r="G118" t="s">
        <v>17</v>
      </c>
      <c r="H118" s="4">
        <v>0</v>
      </c>
      <c r="J118" s="5">
        <f t="shared" si="16"/>
        <v>0.39</v>
      </c>
      <c r="K118" s="7">
        <f t="shared" si="17"/>
        <v>1.5</v>
      </c>
    </row>
    <row r="119" spans="1:11" x14ac:dyDescent="0.3">
      <c r="A119" t="s">
        <v>119</v>
      </c>
      <c r="B119" t="s">
        <v>99</v>
      </c>
      <c r="C119" t="s">
        <v>9</v>
      </c>
      <c r="D119" t="s">
        <v>18</v>
      </c>
      <c r="E119">
        <v>1</v>
      </c>
      <c r="F119" t="s">
        <v>14</v>
      </c>
      <c r="G119" t="s">
        <v>19</v>
      </c>
      <c r="H119" s="4">
        <v>0.08</v>
      </c>
      <c r="J119" s="5">
        <f t="shared" si="16"/>
        <v>0.39</v>
      </c>
      <c r="K119" s="7">
        <f t="shared" si="17"/>
        <v>1.5</v>
      </c>
    </row>
    <row r="120" spans="1:11" x14ac:dyDescent="0.3">
      <c r="A120" t="s">
        <v>119</v>
      </c>
      <c r="B120" t="s">
        <v>99</v>
      </c>
      <c r="C120" t="s">
        <v>9</v>
      </c>
      <c r="D120" t="s">
        <v>20</v>
      </c>
      <c r="E120">
        <v>0.13</v>
      </c>
      <c r="F120" t="s">
        <v>11</v>
      </c>
      <c r="G120" t="s">
        <v>21</v>
      </c>
      <c r="H120" s="4">
        <v>0.26</v>
      </c>
      <c r="J120" s="5">
        <f t="shared" si="16"/>
        <v>0.39</v>
      </c>
      <c r="K120" s="7">
        <f t="shared" si="17"/>
        <v>1.5</v>
      </c>
    </row>
    <row r="121" spans="1:11" x14ac:dyDescent="0.3">
      <c r="A121" t="s">
        <v>120</v>
      </c>
      <c r="B121" s="2" t="s">
        <v>100</v>
      </c>
      <c r="C121" s="2" t="s">
        <v>43</v>
      </c>
      <c r="D121" s="2" t="s">
        <v>46</v>
      </c>
      <c r="E121" s="2"/>
      <c r="F121" s="2" t="s">
        <v>46</v>
      </c>
      <c r="G121" s="2" t="s">
        <v>46</v>
      </c>
      <c r="H121" s="5"/>
      <c r="I121" s="5">
        <f>SUM(I116:I120)</f>
        <v>0.39</v>
      </c>
      <c r="J121" s="5">
        <f>$I$121</f>
        <v>0.39</v>
      </c>
      <c r="K121" s="7">
        <f t="shared" si="17"/>
        <v>1.5</v>
      </c>
    </row>
    <row r="122" spans="1:11" x14ac:dyDescent="0.3">
      <c r="A122" t="s">
        <v>120</v>
      </c>
      <c r="B122" t="s">
        <v>101</v>
      </c>
      <c r="C122" t="s">
        <v>101</v>
      </c>
      <c r="D122" t="s">
        <v>102</v>
      </c>
      <c r="E122">
        <v>1</v>
      </c>
      <c r="F122" t="s">
        <v>103</v>
      </c>
      <c r="G122" t="s">
        <v>104</v>
      </c>
      <c r="H122" s="4">
        <v>0.5</v>
      </c>
      <c r="I122" s="4">
        <v>0.5</v>
      </c>
      <c r="J122" s="5">
        <v>0.5</v>
      </c>
      <c r="K122" s="7">
        <f t="shared" ref="K122:K130" si="18">MROUND(J122*3, 0.5)</f>
        <v>1.5</v>
      </c>
    </row>
    <row r="123" spans="1:11" x14ac:dyDescent="0.3">
      <c r="A123" t="s">
        <v>120</v>
      </c>
      <c r="B123" t="s">
        <v>101</v>
      </c>
      <c r="C123" t="s">
        <v>101</v>
      </c>
      <c r="D123" t="s">
        <v>105</v>
      </c>
      <c r="F123" t="s">
        <v>43</v>
      </c>
      <c r="G123" t="s">
        <v>44</v>
      </c>
      <c r="H123" s="4">
        <v>0</v>
      </c>
      <c r="J123" s="5">
        <v>0.5</v>
      </c>
      <c r="K123" s="7">
        <f t="shared" si="18"/>
        <v>1.5</v>
      </c>
    </row>
    <row r="124" spans="1:11" x14ac:dyDescent="0.3">
      <c r="A124" t="s">
        <v>120</v>
      </c>
      <c r="B124" s="2" t="s">
        <v>106</v>
      </c>
      <c r="C124" s="2" t="s">
        <v>43</v>
      </c>
      <c r="D124" s="2" t="s">
        <v>46</v>
      </c>
      <c r="E124" s="2"/>
      <c r="F124" s="2" t="s">
        <v>46</v>
      </c>
      <c r="G124" s="2" t="s">
        <v>46</v>
      </c>
      <c r="H124" s="5"/>
      <c r="I124" s="5">
        <v>0.5</v>
      </c>
      <c r="J124" s="5">
        <v>0.5</v>
      </c>
      <c r="K124" s="7">
        <f t="shared" si="18"/>
        <v>1.5</v>
      </c>
    </row>
    <row r="125" spans="1:11" x14ac:dyDescent="0.3">
      <c r="A125" t="s">
        <v>120</v>
      </c>
      <c r="B125" t="s">
        <v>107</v>
      </c>
      <c r="C125" t="s">
        <v>107</v>
      </c>
      <c r="D125" t="s">
        <v>108</v>
      </c>
      <c r="E125">
        <v>1</v>
      </c>
      <c r="F125" t="s">
        <v>109</v>
      </c>
      <c r="G125" t="s">
        <v>110</v>
      </c>
      <c r="H125" s="4">
        <v>0.8</v>
      </c>
      <c r="I125" s="4">
        <v>0.8</v>
      </c>
      <c r="J125" s="5">
        <v>0.8</v>
      </c>
      <c r="K125" s="7">
        <f t="shared" si="18"/>
        <v>2.5</v>
      </c>
    </row>
    <row r="126" spans="1:11" x14ac:dyDescent="0.3">
      <c r="A126" t="s">
        <v>120</v>
      </c>
      <c r="B126" t="s">
        <v>107</v>
      </c>
      <c r="C126" t="s">
        <v>107</v>
      </c>
      <c r="D126" t="s">
        <v>105</v>
      </c>
      <c r="F126" t="s">
        <v>43</v>
      </c>
      <c r="G126" t="s">
        <v>44</v>
      </c>
      <c r="H126" s="4">
        <v>0</v>
      </c>
      <c r="J126" s="5">
        <v>0.8</v>
      </c>
      <c r="K126" s="7">
        <f t="shared" si="18"/>
        <v>2.5</v>
      </c>
    </row>
    <row r="127" spans="1:11" x14ac:dyDescent="0.3">
      <c r="A127" t="s">
        <v>120</v>
      </c>
      <c r="B127" s="2" t="s">
        <v>111</v>
      </c>
      <c r="C127" s="2" t="s">
        <v>43</v>
      </c>
      <c r="D127" s="2" t="s">
        <v>46</v>
      </c>
      <c r="E127" s="2"/>
      <c r="F127" s="2" t="s">
        <v>46</v>
      </c>
      <c r="G127" s="2" t="s">
        <v>46</v>
      </c>
      <c r="H127" s="5"/>
      <c r="I127" s="5">
        <v>0.8</v>
      </c>
      <c r="J127" s="5">
        <v>0.8</v>
      </c>
      <c r="K127" s="7">
        <f t="shared" si="18"/>
        <v>2.5</v>
      </c>
    </row>
    <row r="128" spans="1:11" x14ac:dyDescent="0.3">
      <c r="A128" t="s">
        <v>120</v>
      </c>
      <c r="B128" t="s">
        <v>112</v>
      </c>
      <c r="C128" t="s">
        <v>112</v>
      </c>
      <c r="D128" t="s">
        <v>113</v>
      </c>
      <c r="E128">
        <v>1</v>
      </c>
      <c r="F128" t="s">
        <v>109</v>
      </c>
      <c r="G128" t="s">
        <v>110</v>
      </c>
      <c r="H128" s="4">
        <v>0.8</v>
      </c>
      <c r="I128" s="4">
        <v>0.8</v>
      </c>
      <c r="J128" s="5">
        <v>0.8</v>
      </c>
      <c r="K128" s="7">
        <f t="shared" si="18"/>
        <v>2.5</v>
      </c>
    </row>
    <row r="129" spans="1:11" x14ac:dyDescent="0.3">
      <c r="A129" t="s">
        <v>120</v>
      </c>
      <c r="B129" t="s">
        <v>112</v>
      </c>
      <c r="C129" t="s">
        <v>112</v>
      </c>
      <c r="D129" t="s">
        <v>105</v>
      </c>
      <c r="F129" t="s">
        <v>43</v>
      </c>
      <c r="G129" t="s">
        <v>44</v>
      </c>
      <c r="H129" s="4">
        <v>0</v>
      </c>
      <c r="J129" s="5">
        <v>0.8</v>
      </c>
      <c r="K129" s="7">
        <f t="shared" si="18"/>
        <v>2.5</v>
      </c>
    </row>
    <row r="130" spans="1:11" x14ac:dyDescent="0.3">
      <c r="A130" t="s">
        <v>120</v>
      </c>
      <c r="B130" s="2" t="s">
        <v>114</v>
      </c>
      <c r="C130" s="2" t="s">
        <v>43</v>
      </c>
      <c r="D130" s="2" t="s">
        <v>46</v>
      </c>
      <c r="E130" s="2"/>
      <c r="F130" s="2" t="s">
        <v>46</v>
      </c>
      <c r="G130" s="2" t="s">
        <v>46</v>
      </c>
      <c r="H130" s="5"/>
      <c r="I130" s="5">
        <v>0.8</v>
      </c>
      <c r="J130" s="5">
        <v>0.8</v>
      </c>
      <c r="K130" s="7">
        <f t="shared" si="18"/>
        <v>2.5</v>
      </c>
    </row>
    <row r="131" spans="1:11" x14ac:dyDescent="0.3">
      <c r="A131" t="s">
        <v>120</v>
      </c>
      <c r="B131" t="s">
        <v>124</v>
      </c>
      <c r="C131" t="s">
        <v>125</v>
      </c>
      <c r="D131" t="s">
        <v>123</v>
      </c>
      <c r="E131">
        <v>2</v>
      </c>
      <c r="F131" t="s">
        <v>126</v>
      </c>
      <c r="G131" t="s">
        <v>21</v>
      </c>
      <c r="H131" s="4">
        <v>0.5</v>
      </c>
      <c r="I131" s="4">
        <v>0.5</v>
      </c>
      <c r="J131" s="9">
        <f>$I$134</f>
        <v>1.22</v>
      </c>
      <c r="K131" s="4">
        <v>10</v>
      </c>
    </row>
    <row r="132" spans="1:11" x14ac:dyDescent="0.3">
      <c r="A132" t="s">
        <v>120</v>
      </c>
      <c r="B132" t="s">
        <v>124</v>
      </c>
      <c r="C132" t="s">
        <v>128</v>
      </c>
      <c r="D132" t="s">
        <v>129</v>
      </c>
      <c r="E132">
        <v>1</v>
      </c>
      <c r="F132" t="s">
        <v>11</v>
      </c>
      <c r="G132" t="s">
        <v>127</v>
      </c>
      <c r="H132" s="4">
        <v>0.72</v>
      </c>
      <c r="I132" s="4">
        <v>0.72</v>
      </c>
      <c r="J132" s="9">
        <f t="shared" ref="J132:J134" si="19">$I$134</f>
        <v>1.22</v>
      </c>
      <c r="K132" s="4">
        <v>10</v>
      </c>
    </row>
    <row r="133" spans="1:11" x14ac:dyDescent="0.3">
      <c r="A133" t="s">
        <v>120</v>
      </c>
      <c r="B133" t="s">
        <v>124</v>
      </c>
      <c r="C133" t="s">
        <v>130</v>
      </c>
      <c r="D133" t="s">
        <v>130</v>
      </c>
      <c r="F133" t="s">
        <v>43</v>
      </c>
      <c r="G133" t="s">
        <v>44</v>
      </c>
      <c r="H133" s="4" t="s">
        <v>43</v>
      </c>
      <c r="J133" s="9">
        <f t="shared" si="19"/>
        <v>1.22</v>
      </c>
      <c r="K133" s="4">
        <v>10</v>
      </c>
    </row>
    <row r="134" spans="1:11" x14ac:dyDescent="0.3">
      <c r="A134" t="s">
        <v>120</v>
      </c>
      <c r="B134" s="2" t="s">
        <v>132</v>
      </c>
      <c r="C134" t="s">
        <v>43</v>
      </c>
      <c r="D134" t="s">
        <v>43</v>
      </c>
      <c r="E134" t="s">
        <v>43</v>
      </c>
      <c r="F134" t="s">
        <v>43</v>
      </c>
      <c r="I134" s="5">
        <f>SUM(I131:I133)</f>
        <v>1.22</v>
      </c>
      <c r="J134" s="9">
        <f t="shared" si="19"/>
        <v>1.22</v>
      </c>
      <c r="K134" s="4">
        <v>10</v>
      </c>
    </row>
  </sheetData>
  <pageMargins left="0.75" right="0.75" top="1" bottom="1" header="0.5" footer="0.5"/>
  <ignoredErrors>
    <ignoredError sqref="I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20B5-8DB6-478A-AFF7-891C34501C6F}">
  <dimension ref="A1:C5"/>
  <sheetViews>
    <sheetView workbookViewId="0">
      <selection activeCell="E8" sqref="E8"/>
    </sheetView>
  </sheetViews>
  <sheetFormatPr defaultRowHeight="14.4" x14ac:dyDescent="0.3"/>
  <cols>
    <col min="2" max="2" width="13.88671875" customWidth="1"/>
    <col min="3" max="3" width="15.33203125" customWidth="1"/>
  </cols>
  <sheetData>
    <row r="1" spans="1:3" x14ac:dyDescent="0.3">
      <c r="A1" t="s">
        <v>117</v>
      </c>
      <c r="B1" t="s">
        <v>131</v>
      </c>
      <c r="C1" t="s">
        <v>121</v>
      </c>
    </row>
    <row r="2" spans="1:3" x14ac:dyDescent="0.3">
      <c r="A2" t="s">
        <v>118</v>
      </c>
      <c r="B2" s="7">
        <f>AVERAGE('Cost Breakdown'!J19,'Cost Breakdown'!J32,'Cost Breakdown'!J45,'Cost Breakdown'!J61,'Cost Breakdown'!J74,'Cost Breakdown'!J95)</f>
        <v>2.7825000000000002</v>
      </c>
      <c r="C2" s="8">
        <f>AVERAGE('Cost Breakdown'!K19,'Cost Breakdown'!K32,'Cost Breakdown'!K45,'Cost Breakdown'!K61,'Cost Breakdown'!K74,'Cost Breakdown'!K95)</f>
        <v>8.5833333333333339</v>
      </c>
    </row>
    <row r="3" spans="1:3" x14ac:dyDescent="0.3">
      <c r="A3" t="s">
        <v>119</v>
      </c>
      <c r="B3" s="7">
        <f>AVERAGE('Cost Breakdown'!I107,'Cost Breakdown'!I115,'Cost Breakdown'!I121)</f>
        <v>0.58666666666666678</v>
      </c>
      <c r="C3" s="8">
        <f>AVERAGE('Cost Breakdown'!K121,'Cost Breakdown'!K115,'Cost Breakdown'!K107)</f>
        <v>2</v>
      </c>
    </row>
    <row r="4" spans="1:3" x14ac:dyDescent="0.3">
      <c r="A4" t="s">
        <v>120</v>
      </c>
      <c r="B4" s="7">
        <f>AVERAGE('Cost Breakdown'!I134,'Cost Breakdown'!I130,'Cost Breakdown'!I127,'Cost Breakdown'!I124)</f>
        <v>0.83000000000000007</v>
      </c>
      <c r="C4" s="8">
        <f>AVERAGE('Cost Breakdown'!K134,'Cost Breakdown'!K130,'Cost Breakdown'!K127,'Cost Breakdown'!K124)</f>
        <v>4.125</v>
      </c>
    </row>
    <row r="5" spans="1:3" x14ac:dyDescent="0.3">
      <c r="A5" t="s">
        <v>122</v>
      </c>
      <c r="B5" s="7">
        <f>SUM(B2:B4)</f>
        <v>4.1991666666666667</v>
      </c>
      <c r="C5" s="8">
        <f>SUM(C2:C4)</f>
        <v>14.708333333333334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Breakdown</vt:lpstr>
      <vt:lpstr>avg menu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Pontius</cp:lastModifiedBy>
  <dcterms:created xsi:type="dcterms:W3CDTF">2025-11-11T20:08:43Z</dcterms:created>
  <dcterms:modified xsi:type="dcterms:W3CDTF">2025-11-23T16:43:13Z</dcterms:modified>
</cp:coreProperties>
</file>