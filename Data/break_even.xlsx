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workspace\c11\Capstone\Data\"/>
    </mc:Choice>
  </mc:AlternateContent>
  <xr:revisionPtr revIDLastSave="0" documentId="13_ncr:1_{5499CF63-9F53-4456-902C-19EFC8C0D52E}" xr6:coauthVersionLast="47" xr6:coauthVersionMax="47" xr10:uidLastSave="{00000000-0000-0000-0000-000000000000}"/>
  <bookViews>
    <workbookView xWindow="-20520" yWindow="3540" windowWidth="20640" windowHeight="11040" activeTab="1" xr2:uid="{6E9B084D-D9E0-4AF6-BD70-B3216E670A7A}"/>
  </bookViews>
  <sheets>
    <sheet name="break_even_analysis" sheetId="1" r:id="rId1"/>
    <sheet name="revenue_lowest_total" sheetId="4" r:id="rId2"/>
    <sheet name="revenue_lowest_monthly" sheetId="5" r:id="rId3"/>
    <sheet name="10pct down" sheetId="2" r:id="rId4"/>
    <sheet name="20pct down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M11" i="1" s="1"/>
  <c r="L12" i="1"/>
  <c r="L13" i="1"/>
  <c r="M13" i="1" s="1"/>
  <c r="L14" i="1"/>
  <c r="M14" i="1" s="1"/>
  <c r="L15" i="1"/>
  <c r="L16" i="1"/>
  <c r="M16" i="1" s="1"/>
  <c r="L17" i="1"/>
  <c r="L18" i="1"/>
  <c r="L19" i="1"/>
  <c r="L20" i="1"/>
  <c r="L21" i="1"/>
  <c r="L22" i="1"/>
  <c r="B21" i="5" s="1"/>
  <c r="C21" i="5" s="1"/>
  <c r="L23" i="1"/>
  <c r="L24" i="1"/>
  <c r="L25" i="1"/>
  <c r="M25" i="1" s="1"/>
  <c r="L2" i="1"/>
  <c r="M3" i="1"/>
  <c r="M12" i="1"/>
  <c r="B14" i="5"/>
  <c r="C14" i="5" s="1"/>
  <c r="C46" i="4"/>
  <c r="C69" i="4"/>
  <c r="C71" i="4"/>
  <c r="C88" i="4"/>
  <c r="C89" i="4"/>
  <c r="C93" i="4"/>
  <c r="C140" i="4"/>
  <c r="C144" i="4"/>
  <c r="C154" i="4"/>
  <c r="C186" i="4"/>
  <c r="C191" i="4"/>
  <c r="C195" i="4"/>
  <c r="C196" i="4"/>
  <c r="C24" i="4"/>
  <c r="C26" i="4"/>
  <c r="C28" i="4"/>
  <c r="C29" i="4"/>
  <c r="C30" i="4"/>
  <c r="C13" i="4"/>
  <c r="C16" i="4"/>
  <c r="C139" i="5"/>
  <c r="C151" i="5"/>
  <c r="C152" i="5"/>
  <c r="C161" i="5"/>
  <c r="C172" i="5"/>
  <c r="C174" i="5"/>
  <c r="C175" i="5"/>
  <c r="C176" i="5"/>
  <c r="C197" i="5"/>
  <c r="C227" i="5"/>
  <c r="C231" i="5"/>
  <c r="C106" i="5"/>
  <c r="C108" i="5"/>
  <c r="C96" i="5"/>
  <c r="C3" i="5"/>
  <c r="C7" i="5"/>
  <c r="C9" i="5"/>
  <c r="C16" i="5"/>
  <c r="C17" i="5"/>
  <c r="C25" i="5"/>
  <c r="C31" i="5"/>
  <c r="C37" i="5"/>
  <c r="C38" i="5"/>
  <c r="C39" i="5"/>
  <c r="C40" i="5"/>
  <c r="C54" i="5"/>
  <c r="C55" i="5"/>
  <c r="C57" i="5"/>
  <c r="C66" i="5"/>
  <c r="C67" i="5"/>
  <c r="C68" i="5"/>
  <c r="C69" i="5"/>
  <c r="B2" i="4"/>
  <c r="C2" i="4" s="1"/>
  <c r="B10" i="5"/>
  <c r="C10" i="5" s="1"/>
  <c r="B11" i="5"/>
  <c r="C11" i="5" s="1"/>
  <c r="B12" i="5"/>
  <c r="C12" i="5" s="1"/>
  <c r="B13" i="5"/>
  <c r="C13" i="5" s="1"/>
  <c r="B15" i="5"/>
  <c r="C15" i="5" s="1"/>
  <c r="B16" i="5"/>
  <c r="B17" i="5"/>
  <c r="B18" i="5"/>
  <c r="C18" i="5" s="1"/>
  <c r="B19" i="5"/>
  <c r="C19" i="5" s="1"/>
  <c r="B20" i="5"/>
  <c r="C20" i="5" s="1"/>
  <c r="B23" i="5"/>
  <c r="C23" i="5" s="1"/>
  <c r="B24" i="5"/>
  <c r="C24" i="5" s="1"/>
  <c r="B25" i="5"/>
  <c r="B26" i="5"/>
  <c r="C26" i="5" s="1"/>
  <c r="B27" i="5"/>
  <c r="C27" i="5" s="1"/>
  <c r="B29" i="5"/>
  <c r="C29" i="5" s="1"/>
  <c r="B30" i="5"/>
  <c r="C30" i="5" s="1"/>
  <c r="B31" i="5"/>
  <c r="B32" i="5"/>
  <c r="C32" i="5" s="1"/>
  <c r="B33" i="5"/>
  <c r="C33" i="5" s="1"/>
  <c r="B34" i="5"/>
  <c r="C34" i="5" s="1"/>
  <c r="B35" i="5"/>
  <c r="C35" i="5" s="1"/>
  <c r="B36" i="5"/>
  <c r="C36" i="5" s="1"/>
  <c r="B37" i="5"/>
  <c r="B38" i="5"/>
  <c r="B39" i="5"/>
  <c r="B40" i="5"/>
  <c r="B41" i="5"/>
  <c r="C41" i="5" s="1"/>
  <c r="B43" i="5"/>
  <c r="C43" i="5" s="1"/>
  <c r="B44" i="5"/>
  <c r="C44" i="5" s="1"/>
  <c r="B45" i="5"/>
  <c r="C45" i="5" s="1"/>
  <c r="B46" i="5"/>
  <c r="C46" i="5" s="1"/>
  <c r="B47" i="5"/>
  <c r="C47" i="5" s="1"/>
  <c r="B48" i="5"/>
  <c r="C48" i="5" s="1"/>
  <c r="B49" i="5"/>
  <c r="C49" i="5" s="1"/>
  <c r="B50" i="5"/>
  <c r="C50" i="5" s="1"/>
  <c r="B51" i="5"/>
  <c r="C51" i="5" s="1"/>
  <c r="B52" i="5"/>
  <c r="C52" i="5" s="1"/>
  <c r="B53" i="5"/>
  <c r="C53" i="5" s="1"/>
  <c r="B54" i="5"/>
  <c r="B55" i="5"/>
  <c r="B57" i="5"/>
  <c r="B58" i="5"/>
  <c r="C58" i="5" s="1"/>
  <c r="B59" i="5"/>
  <c r="C59" i="5" s="1"/>
  <c r="B60" i="5"/>
  <c r="C60" i="5" s="1"/>
  <c r="B61" i="5"/>
  <c r="C61" i="5" s="1"/>
  <c r="B62" i="5"/>
  <c r="C62" i="5" s="1"/>
  <c r="B63" i="5"/>
  <c r="C63" i="5" s="1"/>
  <c r="B64" i="5"/>
  <c r="C64" i="5" s="1"/>
  <c r="B65" i="5"/>
  <c r="C65" i="5" s="1"/>
  <c r="B66" i="5"/>
  <c r="B67" i="5"/>
  <c r="B68" i="5"/>
  <c r="B69" i="5"/>
  <c r="B71" i="5"/>
  <c r="C71" i="5" s="1"/>
  <c r="B72" i="5"/>
  <c r="C72" i="5" s="1"/>
  <c r="B73" i="5"/>
  <c r="C73" i="5" s="1"/>
  <c r="B74" i="5"/>
  <c r="C74" i="5" s="1"/>
  <c r="B75" i="5"/>
  <c r="C75" i="5" s="1"/>
  <c r="B76" i="5"/>
  <c r="C76" i="5" s="1"/>
  <c r="B77" i="5"/>
  <c r="C77" i="5" s="1"/>
  <c r="B78" i="5"/>
  <c r="C78" i="5" s="1"/>
  <c r="B79" i="5"/>
  <c r="C79" i="5" s="1"/>
  <c r="B80" i="5"/>
  <c r="C80" i="5" s="1"/>
  <c r="B81" i="5"/>
  <c r="C81" i="5" s="1"/>
  <c r="B82" i="5"/>
  <c r="C82" i="5" s="1"/>
  <c r="B83" i="5"/>
  <c r="C83" i="5" s="1"/>
  <c r="B85" i="5"/>
  <c r="C85" i="5" s="1"/>
  <c r="B86" i="5"/>
  <c r="C86" i="5" s="1"/>
  <c r="B87" i="5"/>
  <c r="C87" i="5" s="1"/>
  <c r="B88" i="5"/>
  <c r="C88" i="5" s="1"/>
  <c r="B89" i="5"/>
  <c r="C89" i="5" s="1"/>
  <c r="B90" i="5"/>
  <c r="C90" i="5" s="1"/>
  <c r="B91" i="5"/>
  <c r="C91" i="5" s="1"/>
  <c r="B92" i="5"/>
  <c r="C92" i="5" s="1"/>
  <c r="B93" i="5"/>
  <c r="C93" i="5" s="1"/>
  <c r="B94" i="5"/>
  <c r="C94" i="5" s="1"/>
  <c r="B95" i="5"/>
  <c r="C95" i="5" s="1"/>
  <c r="B96" i="5"/>
  <c r="B97" i="5"/>
  <c r="C97" i="5" s="1"/>
  <c r="B99" i="5"/>
  <c r="C99" i="5" s="1"/>
  <c r="B100" i="5"/>
  <c r="C100" i="5" s="1"/>
  <c r="B101" i="5"/>
  <c r="C101" i="5" s="1"/>
  <c r="B102" i="5"/>
  <c r="C102" i="5" s="1"/>
  <c r="B103" i="5"/>
  <c r="C103" i="5" s="1"/>
  <c r="B104" i="5"/>
  <c r="C104" i="5" s="1"/>
  <c r="B105" i="5"/>
  <c r="C105" i="5" s="1"/>
  <c r="B106" i="5"/>
  <c r="B107" i="5"/>
  <c r="C107" i="5" s="1"/>
  <c r="B108" i="5"/>
  <c r="B109" i="5"/>
  <c r="C109" i="5" s="1"/>
  <c r="B110" i="5"/>
  <c r="C110" i="5" s="1"/>
  <c r="B111" i="5"/>
  <c r="C111" i="5" s="1"/>
  <c r="B113" i="5"/>
  <c r="C113" i="5" s="1"/>
  <c r="B114" i="5"/>
  <c r="C114" i="5" s="1"/>
  <c r="B115" i="5"/>
  <c r="C115" i="5" s="1"/>
  <c r="B116" i="5"/>
  <c r="C116" i="5" s="1"/>
  <c r="B117" i="5"/>
  <c r="C117" i="5" s="1"/>
  <c r="B118" i="5"/>
  <c r="C118" i="5" s="1"/>
  <c r="B119" i="5"/>
  <c r="C119" i="5" s="1"/>
  <c r="B120" i="5"/>
  <c r="C120" i="5" s="1"/>
  <c r="B121" i="5"/>
  <c r="C121" i="5" s="1"/>
  <c r="B122" i="5"/>
  <c r="C122" i="5" s="1"/>
  <c r="B123" i="5"/>
  <c r="C123" i="5" s="1"/>
  <c r="B124" i="5"/>
  <c r="C124" i="5" s="1"/>
  <c r="B125" i="5"/>
  <c r="C125" i="5" s="1"/>
  <c r="B127" i="5"/>
  <c r="C127" i="5" s="1"/>
  <c r="B128" i="5"/>
  <c r="C128" i="5" s="1"/>
  <c r="B129" i="5"/>
  <c r="C129" i="5" s="1"/>
  <c r="B130" i="5"/>
  <c r="C130" i="5" s="1"/>
  <c r="B131" i="5"/>
  <c r="C131" i="5" s="1"/>
  <c r="B132" i="5"/>
  <c r="C132" i="5" s="1"/>
  <c r="B133" i="5"/>
  <c r="C133" i="5" s="1"/>
  <c r="B134" i="5"/>
  <c r="C134" i="5" s="1"/>
  <c r="B135" i="5"/>
  <c r="C135" i="5" s="1"/>
  <c r="B136" i="5"/>
  <c r="C136" i="5" s="1"/>
  <c r="B137" i="5"/>
  <c r="C137" i="5" s="1"/>
  <c r="B138" i="5"/>
  <c r="C138" i="5" s="1"/>
  <c r="B139" i="5"/>
  <c r="B141" i="5"/>
  <c r="C141" i="5" s="1"/>
  <c r="B142" i="5"/>
  <c r="C142" i="5" s="1"/>
  <c r="B143" i="5"/>
  <c r="C143" i="5" s="1"/>
  <c r="B144" i="5"/>
  <c r="C144" i="5" s="1"/>
  <c r="B145" i="5"/>
  <c r="C145" i="5" s="1"/>
  <c r="B146" i="5"/>
  <c r="C146" i="5" s="1"/>
  <c r="B147" i="5"/>
  <c r="C147" i="5" s="1"/>
  <c r="B148" i="5"/>
  <c r="C148" i="5" s="1"/>
  <c r="B149" i="5"/>
  <c r="C149" i="5" s="1"/>
  <c r="B150" i="5"/>
  <c r="C150" i="5" s="1"/>
  <c r="B151" i="5"/>
  <c r="B152" i="5"/>
  <c r="B153" i="5"/>
  <c r="C153" i="5" s="1"/>
  <c r="B155" i="5"/>
  <c r="C155" i="5" s="1"/>
  <c r="B156" i="5"/>
  <c r="C156" i="5" s="1"/>
  <c r="B157" i="5"/>
  <c r="C157" i="5" s="1"/>
  <c r="B158" i="5"/>
  <c r="C158" i="5" s="1"/>
  <c r="B159" i="5"/>
  <c r="C159" i="5" s="1"/>
  <c r="B160" i="5"/>
  <c r="C160" i="5" s="1"/>
  <c r="B161" i="5"/>
  <c r="B162" i="5"/>
  <c r="C162" i="5" s="1"/>
  <c r="B163" i="5"/>
  <c r="C163" i="5" s="1"/>
  <c r="B164" i="5"/>
  <c r="C164" i="5" s="1"/>
  <c r="B165" i="5"/>
  <c r="C165" i="5" s="1"/>
  <c r="B166" i="5"/>
  <c r="C166" i="5" s="1"/>
  <c r="B167" i="5"/>
  <c r="C167" i="5" s="1"/>
  <c r="B169" i="5"/>
  <c r="C169" i="5" s="1"/>
  <c r="B170" i="5"/>
  <c r="C170" i="5" s="1"/>
  <c r="B171" i="5"/>
  <c r="C171" i="5" s="1"/>
  <c r="B172" i="5"/>
  <c r="B173" i="5"/>
  <c r="C173" i="5" s="1"/>
  <c r="B174" i="5"/>
  <c r="B175" i="5"/>
  <c r="B176" i="5"/>
  <c r="B177" i="5"/>
  <c r="C177" i="5" s="1"/>
  <c r="B178" i="5"/>
  <c r="C178" i="5" s="1"/>
  <c r="B179" i="5"/>
  <c r="C179" i="5" s="1"/>
  <c r="B180" i="5"/>
  <c r="C180" i="5" s="1"/>
  <c r="B181" i="5"/>
  <c r="C181" i="5" s="1"/>
  <c r="B183" i="5"/>
  <c r="C183" i="5" s="1"/>
  <c r="B184" i="5"/>
  <c r="C184" i="5" s="1"/>
  <c r="B185" i="5"/>
  <c r="C185" i="5" s="1"/>
  <c r="B186" i="5"/>
  <c r="C186" i="5" s="1"/>
  <c r="B187" i="5"/>
  <c r="C187" i="5" s="1"/>
  <c r="B188" i="5"/>
  <c r="C188" i="5" s="1"/>
  <c r="B189" i="5"/>
  <c r="C189" i="5" s="1"/>
  <c r="B190" i="5"/>
  <c r="C190" i="5" s="1"/>
  <c r="B191" i="5"/>
  <c r="C191" i="5" s="1"/>
  <c r="B192" i="5"/>
  <c r="C192" i="5" s="1"/>
  <c r="B193" i="5"/>
  <c r="C193" i="5" s="1"/>
  <c r="B194" i="5"/>
  <c r="C194" i="5" s="1"/>
  <c r="B195" i="5"/>
  <c r="C195" i="5" s="1"/>
  <c r="B197" i="5"/>
  <c r="B198" i="5"/>
  <c r="C198" i="5" s="1"/>
  <c r="B199" i="5"/>
  <c r="C199" i="5" s="1"/>
  <c r="B200" i="5"/>
  <c r="C200" i="5" s="1"/>
  <c r="B201" i="5"/>
  <c r="C201" i="5" s="1"/>
  <c r="B202" i="5"/>
  <c r="C202" i="5" s="1"/>
  <c r="B203" i="5"/>
  <c r="C203" i="5" s="1"/>
  <c r="B204" i="5"/>
  <c r="C204" i="5" s="1"/>
  <c r="B205" i="5"/>
  <c r="C205" i="5" s="1"/>
  <c r="B206" i="5"/>
  <c r="C206" i="5" s="1"/>
  <c r="B207" i="5"/>
  <c r="C207" i="5" s="1"/>
  <c r="B208" i="5"/>
  <c r="C208" i="5" s="1"/>
  <c r="B209" i="5"/>
  <c r="C209" i="5" s="1"/>
  <c r="B211" i="5"/>
  <c r="C211" i="5" s="1"/>
  <c r="B212" i="5"/>
  <c r="C212" i="5" s="1"/>
  <c r="B213" i="5"/>
  <c r="C213" i="5" s="1"/>
  <c r="B214" i="5"/>
  <c r="C214" i="5" s="1"/>
  <c r="B215" i="5"/>
  <c r="C215" i="5" s="1"/>
  <c r="B216" i="5"/>
  <c r="C216" i="5" s="1"/>
  <c r="B217" i="5"/>
  <c r="C217" i="5" s="1"/>
  <c r="B218" i="5"/>
  <c r="C218" i="5" s="1"/>
  <c r="B219" i="5"/>
  <c r="C219" i="5" s="1"/>
  <c r="B220" i="5"/>
  <c r="C220" i="5" s="1"/>
  <c r="B221" i="5"/>
  <c r="C221" i="5" s="1"/>
  <c r="B222" i="5"/>
  <c r="C222" i="5" s="1"/>
  <c r="B223" i="5"/>
  <c r="C223" i="5" s="1"/>
  <c r="B225" i="5"/>
  <c r="C225" i="5" s="1"/>
  <c r="B226" i="5"/>
  <c r="C226" i="5" s="1"/>
  <c r="B227" i="5"/>
  <c r="B228" i="5"/>
  <c r="C228" i="5" s="1"/>
  <c r="B229" i="5"/>
  <c r="C229" i="5" s="1"/>
  <c r="B230" i="5"/>
  <c r="C230" i="5" s="1"/>
  <c r="B231" i="5"/>
  <c r="B232" i="5"/>
  <c r="C232" i="5" s="1"/>
  <c r="B3" i="5"/>
  <c r="B4" i="5"/>
  <c r="C4" i="5" s="1"/>
  <c r="B5" i="5"/>
  <c r="C5" i="5" s="1"/>
  <c r="B6" i="5"/>
  <c r="C6" i="5" s="1"/>
  <c r="B7" i="5"/>
  <c r="B9" i="5"/>
  <c r="B2" i="5"/>
  <c r="C2" i="5" s="1"/>
  <c r="B3" i="4"/>
  <c r="C3" i="4" s="1"/>
  <c r="B4" i="4"/>
  <c r="C4" i="4" s="1"/>
  <c r="B5" i="4"/>
  <c r="C5" i="4" s="1"/>
  <c r="B6" i="4"/>
  <c r="C6" i="4" s="1"/>
  <c r="B7" i="4"/>
  <c r="C7" i="4" s="1"/>
  <c r="B8" i="4"/>
  <c r="C8" i="4" s="1"/>
  <c r="B9" i="4"/>
  <c r="C9" i="4" s="1"/>
  <c r="B10" i="4"/>
  <c r="C10" i="4" s="1"/>
  <c r="B11" i="4"/>
  <c r="C11" i="4" s="1"/>
  <c r="B12" i="4"/>
  <c r="C12" i="4" s="1"/>
  <c r="B13" i="4"/>
  <c r="B14" i="4"/>
  <c r="C14" i="4" s="1"/>
  <c r="B15" i="4"/>
  <c r="C15" i="4" s="1"/>
  <c r="B16" i="4"/>
  <c r="B17" i="4"/>
  <c r="C17" i="4" s="1"/>
  <c r="B18" i="4"/>
  <c r="C18" i="4" s="1"/>
  <c r="B19" i="4"/>
  <c r="C19" i="4" s="1"/>
  <c r="B20" i="4"/>
  <c r="C20" i="4" s="1"/>
  <c r="B21" i="4"/>
  <c r="C21" i="4" s="1"/>
  <c r="B22" i="4"/>
  <c r="C22" i="4" s="1"/>
  <c r="B23" i="4"/>
  <c r="C23" i="4" s="1"/>
  <c r="B24" i="4"/>
  <c r="B25" i="4"/>
  <c r="C25" i="4" s="1"/>
  <c r="B26" i="4"/>
  <c r="B27" i="4"/>
  <c r="C27" i="4" s="1"/>
  <c r="B28" i="4"/>
  <c r="B29" i="4"/>
  <c r="B30" i="4"/>
  <c r="B31" i="4"/>
  <c r="C31" i="4" s="1"/>
  <c r="B32" i="4"/>
  <c r="C32" i="4" s="1"/>
  <c r="B33" i="4"/>
  <c r="C33" i="4" s="1"/>
  <c r="B34" i="4"/>
  <c r="C34" i="4" s="1"/>
  <c r="B35" i="4"/>
  <c r="C35" i="4" s="1"/>
  <c r="B36" i="4"/>
  <c r="C36" i="4" s="1"/>
  <c r="B37" i="4"/>
  <c r="C37" i="4" s="1"/>
  <c r="B38" i="4"/>
  <c r="C38" i="4" s="1"/>
  <c r="B39" i="4"/>
  <c r="C39" i="4" s="1"/>
  <c r="B40" i="4"/>
  <c r="C40" i="4" s="1"/>
  <c r="B41" i="4"/>
  <c r="C41" i="4" s="1"/>
  <c r="B42" i="4"/>
  <c r="C42" i="4" s="1"/>
  <c r="B43" i="4"/>
  <c r="C43" i="4" s="1"/>
  <c r="B44" i="4"/>
  <c r="C44" i="4" s="1"/>
  <c r="B45" i="4"/>
  <c r="C45" i="4" s="1"/>
  <c r="B46" i="4"/>
  <c r="B47" i="4"/>
  <c r="C47" i="4" s="1"/>
  <c r="B48" i="4"/>
  <c r="C48" i="4" s="1"/>
  <c r="B49" i="4"/>
  <c r="C49" i="4" s="1"/>
  <c r="B50" i="4"/>
  <c r="C50" i="4" s="1"/>
  <c r="B51" i="4"/>
  <c r="C51" i="4" s="1"/>
  <c r="B52" i="4"/>
  <c r="C52" i="4" s="1"/>
  <c r="B53" i="4"/>
  <c r="C53" i="4" s="1"/>
  <c r="B54" i="4"/>
  <c r="C54" i="4" s="1"/>
  <c r="B55" i="4"/>
  <c r="C55" i="4" s="1"/>
  <c r="B56" i="4"/>
  <c r="C56" i="4" s="1"/>
  <c r="B57" i="4"/>
  <c r="C57" i="4" s="1"/>
  <c r="B58" i="4"/>
  <c r="C58" i="4" s="1"/>
  <c r="B59" i="4"/>
  <c r="C59" i="4" s="1"/>
  <c r="B60" i="4"/>
  <c r="C60" i="4" s="1"/>
  <c r="B61" i="4"/>
  <c r="C61" i="4" s="1"/>
  <c r="B62" i="4"/>
  <c r="C62" i="4" s="1"/>
  <c r="B63" i="4"/>
  <c r="C63" i="4" s="1"/>
  <c r="B64" i="4"/>
  <c r="C64" i="4" s="1"/>
  <c r="B65" i="4"/>
  <c r="C65" i="4" s="1"/>
  <c r="B66" i="4"/>
  <c r="C66" i="4" s="1"/>
  <c r="B67" i="4"/>
  <c r="C67" i="4" s="1"/>
  <c r="B68" i="4"/>
  <c r="C68" i="4" s="1"/>
  <c r="B69" i="4"/>
  <c r="B70" i="4"/>
  <c r="C70" i="4" s="1"/>
  <c r="B71" i="4"/>
  <c r="B72" i="4"/>
  <c r="C72" i="4" s="1"/>
  <c r="B73" i="4"/>
  <c r="C73" i="4" s="1"/>
  <c r="B74" i="4"/>
  <c r="C74" i="4" s="1"/>
  <c r="B75" i="4"/>
  <c r="C75" i="4" s="1"/>
  <c r="B76" i="4"/>
  <c r="C76" i="4" s="1"/>
  <c r="B77" i="4"/>
  <c r="C77" i="4" s="1"/>
  <c r="B78" i="4"/>
  <c r="C78" i="4" s="1"/>
  <c r="B79" i="4"/>
  <c r="C79" i="4" s="1"/>
  <c r="B80" i="4"/>
  <c r="C80" i="4" s="1"/>
  <c r="B81" i="4"/>
  <c r="C81" i="4" s="1"/>
  <c r="B82" i="4"/>
  <c r="C82" i="4" s="1"/>
  <c r="B83" i="4"/>
  <c r="C83" i="4" s="1"/>
  <c r="B84" i="4"/>
  <c r="C84" i="4" s="1"/>
  <c r="B85" i="4"/>
  <c r="C85" i="4" s="1"/>
  <c r="B86" i="4"/>
  <c r="C86" i="4" s="1"/>
  <c r="B87" i="4"/>
  <c r="C87" i="4" s="1"/>
  <c r="B88" i="4"/>
  <c r="B89" i="4"/>
  <c r="B90" i="4"/>
  <c r="C90" i="4" s="1"/>
  <c r="B91" i="4"/>
  <c r="C91" i="4" s="1"/>
  <c r="B92" i="4"/>
  <c r="C92" i="4" s="1"/>
  <c r="B93" i="4"/>
  <c r="B94" i="4"/>
  <c r="C94" i="4" s="1"/>
  <c r="B95" i="4"/>
  <c r="C95" i="4" s="1"/>
  <c r="B96" i="4"/>
  <c r="C96" i="4" s="1"/>
  <c r="B97" i="4"/>
  <c r="C97" i="4" s="1"/>
  <c r="B98" i="4"/>
  <c r="C98" i="4" s="1"/>
  <c r="B99" i="4"/>
  <c r="C99" i="4" s="1"/>
  <c r="B100" i="4"/>
  <c r="C100" i="4" s="1"/>
  <c r="B101" i="4"/>
  <c r="C101" i="4" s="1"/>
  <c r="B102" i="4"/>
  <c r="C102" i="4" s="1"/>
  <c r="B103" i="4"/>
  <c r="C103" i="4" s="1"/>
  <c r="B104" i="4"/>
  <c r="C104" i="4" s="1"/>
  <c r="B105" i="4"/>
  <c r="C105" i="4" s="1"/>
  <c r="B106" i="4"/>
  <c r="C106" i="4" s="1"/>
  <c r="B107" i="4"/>
  <c r="C107" i="4" s="1"/>
  <c r="B108" i="4"/>
  <c r="C108" i="4" s="1"/>
  <c r="B109" i="4"/>
  <c r="C109" i="4" s="1"/>
  <c r="B110" i="4"/>
  <c r="C110" i="4" s="1"/>
  <c r="B111" i="4"/>
  <c r="C111" i="4" s="1"/>
  <c r="B112" i="4"/>
  <c r="C112" i="4" s="1"/>
  <c r="B113" i="4"/>
  <c r="C113" i="4" s="1"/>
  <c r="B114" i="4"/>
  <c r="C114" i="4" s="1"/>
  <c r="B115" i="4"/>
  <c r="C115" i="4" s="1"/>
  <c r="B116" i="4"/>
  <c r="C116" i="4" s="1"/>
  <c r="B117" i="4"/>
  <c r="C117" i="4" s="1"/>
  <c r="B118" i="4"/>
  <c r="C118" i="4" s="1"/>
  <c r="B119" i="4"/>
  <c r="C119" i="4" s="1"/>
  <c r="B120" i="4"/>
  <c r="C120" i="4" s="1"/>
  <c r="B121" i="4"/>
  <c r="C121" i="4" s="1"/>
  <c r="B122" i="4"/>
  <c r="C122" i="4" s="1"/>
  <c r="B123" i="4"/>
  <c r="C123" i="4" s="1"/>
  <c r="B124" i="4"/>
  <c r="C124" i="4" s="1"/>
  <c r="B125" i="4"/>
  <c r="C125" i="4" s="1"/>
  <c r="B126" i="4"/>
  <c r="C126" i="4" s="1"/>
  <c r="B127" i="4"/>
  <c r="C127" i="4" s="1"/>
  <c r="B128" i="4"/>
  <c r="C128" i="4" s="1"/>
  <c r="B129" i="4"/>
  <c r="C129" i="4" s="1"/>
  <c r="B130" i="4"/>
  <c r="C130" i="4" s="1"/>
  <c r="B131" i="4"/>
  <c r="C131" i="4" s="1"/>
  <c r="B132" i="4"/>
  <c r="C132" i="4" s="1"/>
  <c r="B133" i="4"/>
  <c r="C133" i="4" s="1"/>
  <c r="B134" i="4"/>
  <c r="C134" i="4" s="1"/>
  <c r="B135" i="4"/>
  <c r="C135" i="4" s="1"/>
  <c r="B136" i="4"/>
  <c r="C136" i="4" s="1"/>
  <c r="B137" i="4"/>
  <c r="C137" i="4" s="1"/>
  <c r="B138" i="4"/>
  <c r="C138" i="4" s="1"/>
  <c r="B139" i="4"/>
  <c r="C139" i="4" s="1"/>
  <c r="B140" i="4"/>
  <c r="B141" i="4"/>
  <c r="C141" i="4" s="1"/>
  <c r="B142" i="4"/>
  <c r="C142" i="4" s="1"/>
  <c r="B143" i="4"/>
  <c r="C143" i="4" s="1"/>
  <c r="B144" i="4"/>
  <c r="B145" i="4"/>
  <c r="C145" i="4" s="1"/>
  <c r="B146" i="4"/>
  <c r="C146" i="4" s="1"/>
  <c r="B147" i="4"/>
  <c r="C147" i="4" s="1"/>
  <c r="B148" i="4"/>
  <c r="C148" i="4" s="1"/>
  <c r="B149" i="4"/>
  <c r="C149" i="4" s="1"/>
  <c r="B150" i="4"/>
  <c r="C150" i="4" s="1"/>
  <c r="B151" i="4"/>
  <c r="C151" i="4" s="1"/>
  <c r="B152" i="4"/>
  <c r="C152" i="4" s="1"/>
  <c r="B153" i="4"/>
  <c r="C153" i="4" s="1"/>
  <c r="B154" i="4"/>
  <c r="B155" i="4"/>
  <c r="C155" i="4" s="1"/>
  <c r="B156" i="4"/>
  <c r="C156" i="4" s="1"/>
  <c r="B157" i="4"/>
  <c r="C157" i="4" s="1"/>
  <c r="B158" i="4"/>
  <c r="C158" i="4" s="1"/>
  <c r="B159" i="4"/>
  <c r="C159" i="4" s="1"/>
  <c r="B160" i="4"/>
  <c r="C160" i="4" s="1"/>
  <c r="B161" i="4"/>
  <c r="C161" i="4" s="1"/>
  <c r="B162" i="4"/>
  <c r="C162" i="4" s="1"/>
  <c r="B163" i="4"/>
  <c r="C163" i="4" s="1"/>
  <c r="B164" i="4"/>
  <c r="C164" i="4" s="1"/>
  <c r="B165" i="4"/>
  <c r="C165" i="4" s="1"/>
  <c r="B166" i="4"/>
  <c r="C166" i="4" s="1"/>
  <c r="B167" i="4"/>
  <c r="C167" i="4" s="1"/>
  <c r="B168" i="4"/>
  <c r="C168" i="4" s="1"/>
  <c r="B169" i="4"/>
  <c r="C169" i="4" s="1"/>
  <c r="B170" i="4"/>
  <c r="C170" i="4" s="1"/>
  <c r="B171" i="4"/>
  <c r="C171" i="4" s="1"/>
  <c r="B172" i="4"/>
  <c r="C172" i="4" s="1"/>
  <c r="B173" i="4"/>
  <c r="C173" i="4" s="1"/>
  <c r="B174" i="4"/>
  <c r="C174" i="4" s="1"/>
  <c r="B175" i="4"/>
  <c r="C175" i="4" s="1"/>
  <c r="B176" i="4"/>
  <c r="C176" i="4" s="1"/>
  <c r="B177" i="4"/>
  <c r="C177" i="4" s="1"/>
  <c r="B178" i="4"/>
  <c r="C178" i="4" s="1"/>
  <c r="B179" i="4"/>
  <c r="C179" i="4" s="1"/>
  <c r="B180" i="4"/>
  <c r="C180" i="4" s="1"/>
  <c r="B181" i="4"/>
  <c r="C181" i="4" s="1"/>
  <c r="B182" i="4"/>
  <c r="C182" i="4" s="1"/>
  <c r="B183" i="4"/>
  <c r="C183" i="4" s="1"/>
  <c r="B184" i="4"/>
  <c r="C184" i="4" s="1"/>
  <c r="B185" i="4"/>
  <c r="C185" i="4" s="1"/>
  <c r="B186" i="4"/>
  <c r="B187" i="4"/>
  <c r="C187" i="4" s="1"/>
  <c r="B188" i="4"/>
  <c r="C188" i="4" s="1"/>
  <c r="B189" i="4"/>
  <c r="C189" i="4" s="1"/>
  <c r="B190" i="4"/>
  <c r="C190" i="4" s="1"/>
  <c r="B191" i="4"/>
  <c r="B192" i="4"/>
  <c r="C192" i="4" s="1"/>
  <c r="B193" i="4"/>
  <c r="C193" i="4" s="1"/>
  <c r="B194" i="4"/>
  <c r="C194" i="4" s="1"/>
  <c r="B195" i="4"/>
  <c r="B196" i="4"/>
  <c r="B197" i="4"/>
  <c r="C197" i="4" s="1"/>
  <c r="B198" i="4"/>
  <c r="C198" i="4" s="1"/>
  <c r="B199" i="4"/>
  <c r="C199" i="4" s="1"/>
  <c r="B200" i="4"/>
  <c r="C200" i="4" s="1"/>
  <c r="B201" i="4"/>
  <c r="C201" i="4" s="1"/>
  <c r="B202" i="4"/>
  <c r="C202" i="4" s="1"/>
  <c r="B203" i="4"/>
  <c r="C203" i="4" s="1"/>
  <c r="B204" i="4"/>
  <c r="C204" i="4" s="1"/>
  <c r="B205" i="4"/>
  <c r="C205" i="4" s="1"/>
  <c r="B206" i="4"/>
  <c r="C206" i="4" s="1"/>
  <c r="B207" i="4"/>
  <c r="C207" i="4" s="1"/>
  <c r="B208" i="4"/>
  <c r="C208" i="4" s="1"/>
  <c r="B209" i="4"/>
  <c r="C209" i="4" s="1"/>
  <c r="B210" i="4"/>
  <c r="C210" i="4" s="1"/>
  <c r="B211" i="4"/>
  <c r="C211" i="4" s="1"/>
  <c r="B212" i="4"/>
  <c r="C212" i="4" s="1"/>
  <c r="B213" i="4"/>
  <c r="C213" i="4" s="1"/>
  <c r="B214" i="4"/>
  <c r="C214" i="4" s="1"/>
  <c r="B215" i="4"/>
  <c r="C215" i="4" s="1"/>
  <c r="B216" i="4"/>
  <c r="C216" i="4" s="1"/>
  <c r="B217" i="4"/>
  <c r="C217" i="4" s="1"/>
  <c r="B218" i="4"/>
  <c r="C218" i="4" s="1"/>
  <c r="B219" i="4"/>
  <c r="C219" i="4" s="1"/>
  <c r="B220" i="4"/>
  <c r="C220" i="4" s="1"/>
  <c r="B221" i="4"/>
  <c r="C221" i="4" s="1"/>
  <c r="B222" i="4"/>
  <c r="C222" i="4" s="1"/>
  <c r="B223" i="4"/>
  <c r="C223" i="4" s="1"/>
  <c r="B224" i="4"/>
  <c r="C224" i="4" s="1"/>
  <c r="B225" i="4"/>
  <c r="C225" i="4" s="1"/>
  <c r="B226" i="4"/>
  <c r="C226" i="4" s="1"/>
  <c r="B227" i="4"/>
  <c r="C227" i="4" s="1"/>
  <c r="B228" i="4"/>
  <c r="C228" i="4" s="1"/>
  <c r="B229" i="4"/>
  <c r="C229" i="4" s="1"/>
  <c r="B230" i="4"/>
  <c r="C230" i="4" s="1"/>
  <c r="B231" i="4"/>
  <c r="C231" i="4" s="1"/>
  <c r="B232" i="4"/>
  <c r="C232" i="4" s="1"/>
  <c r="M7" i="1"/>
  <c r="M8" i="1"/>
  <c r="M9" i="1"/>
  <c r="M10" i="1"/>
  <c r="M15" i="1"/>
  <c r="M17" i="1"/>
  <c r="M18" i="1"/>
  <c r="M19" i="1"/>
  <c r="M20" i="1"/>
  <c r="M21" i="1"/>
  <c r="M22" i="1"/>
  <c r="M23" i="1"/>
  <c r="M24" i="1"/>
  <c r="M4" i="1"/>
  <c r="M5" i="1"/>
  <c r="M6" i="1"/>
  <c r="M2" i="1"/>
  <c r="K18" i="1"/>
  <c r="K19" i="1"/>
  <c r="K20" i="1"/>
  <c r="K21" i="1"/>
  <c r="K22" i="1"/>
  <c r="K23" i="1"/>
  <c r="K24" i="1"/>
  <c r="K25" i="1"/>
  <c r="J18" i="1"/>
  <c r="J19" i="1"/>
  <c r="J20" i="1"/>
  <c r="J21" i="1"/>
  <c r="J22" i="1"/>
  <c r="J23" i="1"/>
  <c r="J24" i="1"/>
  <c r="J25" i="1"/>
  <c r="I18" i="1"/>
  <c r="I19" i="1"/>
  <c r="I20" i="1"/>
  <c r="I21" i="1"/>
  <c r="I22" i="1"/>
  <c r="I23" i="1"/>
  <c r="I24" i="1"/>
  <c r="I25" i="1"/>
  <c r="J10" i="1"/>
  <c r="J11" i="1"/>
  <c r="J12" i="1"/>
  <c r="K12" i="1" s="1"/>
  <c r="J13" i="1"/>
  <c r="J14" i="1"/>
  <c r="J15" i="1"/>
  <c r="J16" i="1"/>
  <c r="J17" i="1"/>
  <c r="I10" i="1"/>
  <c r="I11" i="1"/>
  <c r="I12" i="1"/>
  <c r="I13" i="1"/>
  <c r="I14" i="1"/>
  <c r="I15" i="1"/>
  <c r="I16" i="1"/>
  <c r="I17" i="1"/>
  <c r="D2" i="3"/>
  <c r="E9" i="3"/>
  <c r="G9" i="3" s="1"/>
  <c r="H9" i="3" s="1"/>
  <c r="D9" i="3"/>
  <c r="E8" i="3"/>
  <c r="G8" i="3" s="1"/>
  <c r="H8" i="3" s="1"/>
  <c r="D8" i="3"/>
  <c r="E7" i="3"/>
  <c r="G7" i="3" s="1"/>
  <c r="H7" i="3" s="1"/>
  <c r="D7" i="3"/>
  <c r="E6" i="3"/>
  <c r="G6" i="3" s="1"/>
  <c r="H6" i="3" s="1"/>
  <c r="D6" i="3"/>
  <c r="E5" i="3"/>
  <c r="G5" i="3" s="1"/>
  <c r="H5" i="3" s="1"/>
  <c r="D5" i="3"/>
  <c r="G4" i="3"/>
  <c r="H4" i="3" s="1"/>
  <c r="F4" i="3"/>
  <c r="E4" i="3"/>
  <c r="D4" i="3"/>
  <c r="E3" i="3"/>
  <c r="G3" i="3" s="1"/>
  <c r="H3" i="3" s="1"/>
  <c r="D3" i="3"/>
  <c r="E2" i="3"/>
  <c r="F2" i="3" s="1"/>
  <c r="E3" i="2"/>
  <c r="E4" i="2"/>
  <c r="E5" i="2"/>
  <c r="E6" i="2"/>
  <c r="E7" i="2"/>
  <c r="E8" i="2"/>
  <c r="G8" i="2" s="1"/>
  <c r="H8" i="2" s="1"/>
  <c r="E9" i="2"/>
  <c r="G9" i="2" s="1"/>
  <c r="H9" i="2" s="1"/>
  <c r="E2" i="2"/>
  <c r="G2" i="2" s="1"/>
  <c r="H2" i="2" s="1"/>
  <c r="D3" i="2"/>
  <c r="D4" i="2"/>
  <c r="D5" i="2"/>
  <c r="D6" i="2"/>
  <c r="D7" i="2"/>
  <c r="D8" i="2"/>
  <c r="D9" i="2"/>
  <c r="D2" i="2"/>
  <c r="I2" i="1"/>
  <c r="G7" i="2"/>
  <c r="H7" i="2" s="1"/>
  <c r="G6" i="2"/>
  <c r="H6" i="2" s="1"/>
  <c r="G5" i="2"/>
  <c r="H5" i="2" s="1"/>
  <c r="G4" i="2"/>
  <c r="H4" i="2" s="1"/>
  <c r="F4" i="2"/>
  <c r="G3" i="2"/>
  <c r="H3" i="2" s="1"/>
  <c r="J2" i="1"/>
  <c r="K2" i="1"/>
  <c r="J3" i="1"/>
  <c r="K3" i="1" s="1"/>
  <c r="J4" i="1"/>
  <c r="K4" i="1" s="1"/>
  <c r="J5" i="1"/>
  <c r="K5" i="1" s="1"/>
  <c r="J6" i="1"/>
  <c r="K6" i="1" s="1"/>
  <c r="J7" i="1"/>
  <c r="K7" i="1" s="1"/>
  <c r="J8" i="1"/>
  <c r="K8" i="1" s="1"/>
  <c r="J9" i="1"/>
  <c r="K9" i="1" s="1"/>
  <c r="I5" i="1"/>
  <c r="I6" i="1"/>
  <c r="I7" i="1"/>
  <c r="I8" i="1"/>
  <c r="I9" i="1"/>
  <c r="I3" i="1"/>
  <c r="I4" i="1"/>
  <c r="B22" i="5" l="1"/>
  <c r="C22" i="5" s="1"/>
  <c r="B8" i="5"/>
  <c r="C8" i="5" s="1"/>
  <c r="B224" i="5"/>
  <c r="C224" i="5" s="1"/>
  <c r="B210" i="5"/>
  <c r="C210" i="5" s="1"/>
  <c r="B196" i="5"/>
  <c r="C196" i="5" s="1"/>
  <c r="B182" i="5"/>
  <c r="C182" i="5" s="1"/>
  <c r="B168" i="5"/>
  <c r="C168" i="5" s="1"/>
  <c r="B154" i="5"/>
  <c r="C154" i="5" s="1"/>
  <c r="B140" i="5"/>
  <c r="C140" i="5" s="1"/>
  <c r="B126" i="5"/>
  <c r="C126" i="5" s="1"/>
  <c r="B112" i="5"/>
  <c r="C112" i="5" s="1"/>
  <c r="B98" i="5"/>
  <c r="C98" i="5" s="1"/>
  <c r="B84" i="5"/>
  <c r="C84" i="5" s="1"/>
  <c r="B70" i="5"/>
  <c r="C70" i="5" s="1"/>
  <c r="B56" i="5"/>
  <c r="C56" i="5" s="1"/>
  <c r="B42" i="5"/>
  <c r="C42" i="5" s="1"/>
  <c r="B28" i="5"/>
  <c r="C28" i="5" s="1"/>
  <c r="K16" i="1"/>
  <c r="K11" i="1"/>
  <c r="K17" i="1"/>
  <c r="K15" i="1"/>
  <c r="K10" i="1"/>
  <c r="K13" i="1"/>
  <c r="K14" i="1"/>
  <c r="G2" i="3"/>
  <c r="H2" i="3" s="1"/>
  <c r="F5" i="3"/>
  <c r="F8" i="3"/>
  <c r="F3" i="3"/>
  <c r="F6" i="3"/>
  <c r="F9" i="3"/>
  <c r="F7" i="3"/>
  <c r="F7" i="2"/>
  <c r="F2" i="2"/>
  <c r="F5" i="2"/>
  <c r="F8" i="2"/>
  <c r="F3" i="2"/>
  <c r="F6" i="2"/>
  <c r="F9" i="2"/>
</calcChain>
</file>

<file path=xl/sharedStrings.xml><?xml version="1.0" encoding="utf-8"?>
<sst xmlns="http://schemas.openxmlformats.org/spreadsheetml/2006/main" count="91" uniqueCount="34">
  <si>
    <t>Term</t>
  </si>
  <si>
    <t>APR</t>
  </si>
  <si>
    <t>Monthly Payment</t>
  </si>
  <si>
    <t>Total Paid</t>
  </si>
  <si>
    <t>Total Interest</t>
  </si>
  <si>
    <t>10% Down ($15,000) → Loan $135,000</t>
  </si>
  <si>
    <t>20% Down ($30,000) → Loan $120,000</t>
  </si>
  <si>
    <t>5 years (60 mo)</t>
  </si>
  <si>
    <t>$2,610 / mo → $156,600 total</t>
  </si>
  <si>
    <t>$2,320 / mo → $139,200 total</t>
  </si>
  <si>
    <t>$2,738 / mo → $164,280 total</t>
  </si>
  <si>
    <t>$2,433 / mo → $145,980 total</t>
  </si>
  <si>
    <t>$2,868 / mo → $172,080 total</t>
  </si>
  <si>
    <t>$2,550 / mo → $153,000 total</t>
  </si>
  <si>
    <t>$3,002 / mo → $180,120 total</t>
  </si>
  <si>
    <t>$2,669 / mo → $160,140 total</t>
  </si>
  <si>
    <t>7 years (84 mo)</t>
  </si>
  <si>
    <t>$1,973 / mo → $165,732 total</t>
  </si>
  <si>
    <t>$1,754 / mo → $147,336 total</t>
  </si>
  <si>
    <t>$2,046 / mo → $171,888 total</t>
  </si>
  <si>
    <t>$1,819 / mo → $152,796 total</t>
  </si>
  <si>
    <t>$2,124 / mo → $178,416 total</t>
  </si>
  <si>
    <t>$1,888 / mo → $158,992 total</t>
  </si>
  <si>
    <t>$2,206 / mo → $185,304 total</t>
  </si>
  <si>
    <t>$1,961 / mo → $164,724 total</t>
  </si>
  <si>
    <t>Monthly Payment + Operating Costs</t>
  </si>
  <si>
    <t>Seasonal Operating costs</t>
  </si>
  <si>
    <t>Cost per event</t>
  </si>
  <si>
    <t>Number of people needed per avg menu price</t>
  </si>
  <si>
    <t>Cost Per Event Day</t>
  </si>
  <si>
    <t>Down Payment</t>
  </si>
  <si>
    <t>number of customers</t>
  </si>
  <si>
    <t>revenue per event day</t>
  </si>
  <si>
    <t>revenue on 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</si>
</sst>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/>
    <xf numFmtId="9" fontId="0" fillId="0" borderId="0" xfId="0" applyNumberFormat="1" applyAlignment="1">
      <alignment vertical="center" wrapText="1"/>
    </xf>
    <xf numFmtId="6" fontId="0" fillId="0" borderId="0" xfId="0" applyNumberFormat="1"/>
    <xf numFmtId="6" fontId="0" fillId="0" borderId="0" xfId="0" applyNumberFormat="1" applyAlignment="1">
      <alignment vertical="center" wrapText="1"/>
    </xf>
    <xf numFmtId="8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66892-7063-4C8F-A980-908EF395FAA5}">
  <dimension ref="A1:M25"/>
  <sheetViews>
    <sheetView topLeftCell="A5" workbookViewId="0">
      <selection activeCell="L2" sqref="L2:L25"/>
    </sheetView>
  </sheetViews>
  <sheetFormatPr defaultRowHeight="14.4" x14ac:dyDescent="0.3"/>
  <cols>
    <col min="1" max="1" width="15.21875" customWidth="1"/>
    <col min="2" max="2" width="14.21875" customWidth="1"/>
    <col min="3" max="4" width="14.33203125" customWidth="1"/>
    <col min="5" max="5" width="14.21875" customWidth="1"/>
    <col min="6" max="6" width="15.109375" customWidth="1"/>
    <col min="7" max="7" width="13.21875" customWidth="1"/>
    <col min="9" max="9" width="14.33203125" customWidth="1"/>
    <col min="10" max="10" width="12.88671875" customWidth="1"/>
    <col min="11" max="11" width="9.6640625" bestFit="1" customWidth="1"/>
    <col min="12" max="12" width="9.6640625" customWidth="1"/>
    <col min="13" max="13" width="14.33203125" customWidth="1"/>
    <col min="14" max="14" width="8.88671875" customWidth="1"/>
  </cols>
  <sheetData>
    <row r="1" spans="1:13" ht="72" x14ac:dyDescent="0.3">
      <c r="A1" t="s">
        <v>30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25</v>
      </c>
      <c r="J1" s="1" t="s">
        <v>26</v>
      </c>
      <c r="K1" s="1" t="s">
        <v>27</v>
      </c>
      <c r="L1" s="1" t="s">
        <v>29</v>
      </c>
      <c r="M1" s="1" t="s">
        <v>28</v>
      </c>
    </row>
    <row r="2" spans="1:13" ht="57.6" x14ac:dyDescent="0.3">
      <c r="A2" s="3">
        <v>0</v>
      </c>
      <c r="B2" s="2" t="s">
        <v>7</v>
      </c>
      <c r="C2" s="4">
        <v>0.06</v>
      </c>
      <c r="D2" s="6">
        <v>2900</v>
      </c>
      <c r="E2" s="6">
        <v>174000</v>
      </c>
      <c r="F2" s="6">
        <v>24000</v>
      </c>
      <c r="G2" s="2" t="s">
        <v>8</v>
      </c>
      <c r="H2" s="2" t="s">
        <v>9</v>
      </c>
      <c r="I2" s="6">
        <f t="shared" ref="I2:I9" si="0">D2+6410</f>
        <v>9310</v>
      </c>
      <c r="J2" s="5">
        <f t="shared" ref="J2:J17" si="1">(6410*6)+(D2*12)</f>
        <v>73260</v>
      </c>
      <c r="K2" s="7">
        <f>J2/15</f>
        <v>4884</v>
      </c>
      <c r="L2" s="7">
        <f>(J2/41)*1.125</f>
        <v>2010.1829268292681</v>
      </c>
      <c r="M2" s="8">
        <f>L2/16.85</f>
        <v>119.29869001954113</v>
      </c>
    </row>
    <row r="3" spans="1:13" ht="57.6" x14ac:dyDescent="0.3">
      <c r="A3" s="3">
        <v>0</v>
      </c>
      <c r="B3" s="2" t="s">
        <v>7</v>
      </c>
      <c r="C3" s="4">
        <v>0.08</v>
      </c>
      <c r="D3" s="6">
        <v>3042</v>
      </c>
      <c r="E3" s="6">
        <v>182520</v>
      </c>
      <c r="F3" s="6">
        <v>32520</v>
      </c>
      <c r="G3" s="2" t="s">
        <v>10</v>
      </c>
      <c r="H3" s="2" t="s">
        <v>11</v>
      </c>
      <c r="I3" s="6">
        <f t="shared" si="0"/>
        <v>9452</v>
      </c>
      <c r="J3" s="5">
        <f t="shared" si="1"/>
        <v>74964</v>
      </c>
      <c r="K3" s="7">
        <f t="shared" ref="K3:K9" si="2">J3/15</f>
        <v>4997.6000000000004</v>
      </c>
      <c r="L3" s="7">
        <f t="shared" ref="L3:L25" si="3">(J3/41)*1.125</f>
        <v>2056.939024390244</v>
      </c>
      <c r="M3" s="8">
        <f t="shared" ref="M3:M25" si="4">L3/16.85</f>
        <v>122.07353260476225</v>
      </c>
    </row>
    <row r="4" spans="1:13" ht="57.6" x14ac:dyDescent="0.3">
      <c r="A4" s="3">
        <v>0</v>
      </c>
      <c r="B4" s="2" t="s">
        <v>7</v>
      </c>
      <c r="C4" s="4">
        <v>0.1</v>
      </c>
      <c r="D4" s="6">
        <v>3187</v>
      </c>
      <c r="E4" s="6">
        <v>191220</v>
      </c>
      <c r="F4" s="6">
        <v>41220</v>
      </c>
      <c r="G4" s="2" t="s">
        <v>12</v>
      </c>
      <c r="H4" s="2" t="s">
        <v>13</v>
      </c>
      <c r="I4" s="6">
        <f t="shared" si="0"/>
        <v>9597</v>
      </c>
      <c r="J4" s="5">
        <f t="shared" si="1"/>
        <v>76704</v>
      </c>
      <c r="K4" s="7">
        <f t="shared" si="2"/>
        <v>5113.6000000000004</v>
      </c>
      <c r="L4" s="7">
        <f t="shared" si="3"/>
        <v>2104.6829268292681</v>
      </c>
      <c r="M4" s="8">
        <f t="shared" si="4"/>
        <v>124.90699862488238</v>
      </c>
    </row>
    <row r="5" spans="1:13" ht="57.6" x14ac:dyDescent="0.3">
      <c r="A5" s="3">
        <v>0</v>
      </c>
      <c r="B5" s="2" t="s">
        <v>7</v>
      </c>
      <c r="C5" s="4">
        <v>0.12</v>
      </c>
      <c r="D5" s="6">
        <v>3336</v>
      </c>
      <c r="E5" s="6">
        <v>200160</v>
      </c>
      <c r="F5" s="6">
        <v>50160</v>
      </c>
      <c r="G5" s="2" t="s">
        <v>14</v>
      </c>
      <c r="H5" s="2" t="s">
        <v>15</v>
      </c>
      <c r="I5" s="6">
        <f t="shared" si="0"/>
        <v>9746</v>
      </c>
      <c r="J5" s="5">
        <f t="shared" si="1"/>
        <v>78492</v>
      </c>
      <c r="K5" s="7">
        <f t="shared" si="2"/>
        <v>5232.8</v>
      </c>
      <c r="L5" s="7">
        <f t="shared" si="3"/>
        <v>2153.7439024390246</v>
      </c>
      <c r="M5" s="8">
        <f t="shared" si="4"/>
        <v>127.81862922486792</v>
      </c>
    </row>
    <row r="6" spans="1:13" ht="57.6" x14ac:dyDescent="0.3">
      <c r="A6" s="3">
        <v>0</v>
      </c>
      <c r="B6" s="2" t="s">
        <v>16</v>
      </c>
      <c r="C6" s="4">
        <v>0.06</v>
      </c>
      <c r="D6" s="6">
        <v>2192</v>
      </c>
      <c r="E6" s="6">
        <v>184128</v>
      </c>
      <c r="F6" s="6">
        <v>34128</v>
      </c>
      <c r="G6" s="2" t="s">
        <v>17</v>
      </c>
      <c r="H6" s="2" t="s">
        <v>18</v>
      </c>
      <c r="I6" s="6">
        <f t="shared" si="0"/>
        <v>8602</v>
      </c>
      <c r="J6" s="5">
        <f t="shared" si="1"/>
        <v>64764</v>
      </c>
      <c r="K6" s="7">
        <f t="shared" si="2"/>
        <v>4317.6000000000004</v>
      </c>
      <c r="L6" s="7">
        <f t="shared" si="3"/>
        <v>1777.060975609756</v>
      </c>
      <c r="M6" s="8">
        <f t="shared" si="4"/>
        <v>105.46355938336831</v>
      </c>
    </row>
    <row r="7" spans="1:13" ht="57.6" x14ac:dyDescent="0.3">
      <c r="A7" s="3">
        <v>0</v>
      </c>
      <c r="B7" s="2" t="s">
        <v>16</v>
      </c>
      <c r="C7" s="4">
        <v>0.08</v>
      </c>
      <c r="D7" s="6">
        <v>2274</v>
      </c>
      <c r="E7" s="6">
        <v>191016</v>
      </c>
      <c r="F7" s="6">
        <v>41016</v>
      </c>
      <c r="G7" s="2" t="s">
        <v>19</v>
      </c>
      <c r="H7" s="2" t="s">
        <v>20</v>
      </c>
      <c r="I7" s="6">
        <f t="shared" si="0"/>
        <v>8684</v>
      </c>
      <c r="J7" s="5">
        <f t="shared" si="1"/>
        <v>65748</v>
      </c>
      <c r="K7" s="7">
        <f t="shared" si="2"/>
        <v>4383.2</v>
      </c>
      <c r="L7" s="7">
        <f t="shared" si="3"/>
        <v>1804.060975609756</v>
      </c>
      <c r="M7" s="8">
        <f t="shared" si="4"/>
        <v>107.06593327060865</v>
      </c>
    </row>
    <row r="8" spans="1:13" ht="57.6" x14ac:dyDescent="0.3">
      <c r="A8" s="3">
        <v>0</v>
      </c>
      <c r="B8" s="2" t="s">
        <v>16</v>
      </c>
      <c r="C8" s="4">
        <v>0.1</v>
      </c>
      <c r="D8" s="6">
        <v>2360</v>
      </c>
      <c r="E8" s="6">
        <v>198240</v>
      </c>
      <c r="F8" s="6">
        <v>48240</v>
      </c>
      <c r="G8" s="2" t="s">
        <v>21</v>
      </c>
      <c r="H8" s="2" t="s">
        <v>22</v>
      </c>
      <c r="I8" s="6">
        <f t="shared" si="0"/>
        <v>8770</v>
      </c>
      <c r="J8" s="5">
        <f t="shared" si="1"/>
        <v>66780</v>
      </c>
      <c r="K8" s="7">
        <f t="shared" si="2"/>
        <v>4452</v>
      </c>
      <c r="L8" s="7">
        <f t="shared" si="3"/>
        <v>1832.3780487804877</v>
      </c>
      <c r="M8" s="8">
        <f t="shared" si="4"/>
        <v>108.74647173771439</v>
      </c>
    </row>
    <row r="9" spans="1:13" ht="57.6" x14ac:dyDescent="0.3">
      <c r="A9" s="3">
        <v>0</v>
      </c>
      <c r="B9" s="2" t="s">
        <v>16</v>
      </c>
      <c r="C9" s="4">
        <v>0.12</v>
      </c>
      <c r="D9" s="6">
        <v>2451</v>
      </c>
      <c r="E9" s="6">
        <v>205884</v>
      </c>
      <c r="F9" s="6">
        <v>55884</v>
      </c>
      <c r="G9" s="2" t="s">
        <v>23</v>
      </c>
      <c r="H9" s="2" t="s">
        <v>24</v>
      </c>
      <c r="I9" s="6">
        <f t="shared" si="0"/>
        <v>8861</v>
      </c>
      <c r="J9" s="5">
        <f t="shared" si="1"/>
        <v>67872</v>
      </c>
      <c r="K9" s="7">
        <f t="shared" si="2"/>
        <v>4524.8</v>
      </c>
      <c r="L9" s="7">
        <f t="shared" si="3"/>
        <v>1862.3414634146343</v>
      </c>
      <c r="M9" s="8">
        <f t="shared" si="4"/>
        <v>110.52471592965188</v>
      </c>
    </row>
    <row r="10" spans="1:13" x14ac:dyDescent="0.3">
      <c r="A10" s="3">
        <v>0.1</v>
      </c>
      <c r="B10" s="2" t="s">
        <v>7</v>
      </c>
      <c r="C10" s="4">
        <v>0.06</v>
      </c>
      <c r="D10" s="6">
        <v>2610</v>
      </c>
      <c r="E10" s="7">
        <v>156600</v>
      </c>
      <c r="F10" s="7"/>
      <c r="G10" s="8"/>
      <c r="I10" s="6">
        <f t="shared" ref="I10:I25" si="5">D10+6410</f>
        <v>9020</v>
      </c>
      <c r="J10" s="5">
        <f t="shared" si="1"/>
        <v>69780</v>
      </c>
      <c r="K10" s="7">
        <f>J10/15</f>
        <v>4652</v>
      </c>
      <c r="L10" s="7">
        <f t="shared" si="3"/>
        <v>1914.6951219512196</v>
      </c>
      <c r="M10" s="8">
        <f t="shared" si="4"/>
        <v>113.63175797930086</v>
      </c>
    </row>
    <row r="11" spans="1:13" x14ac:dyDescent="0.3">
      <c r="A11" s="3">
        <v>0.1</v>
      </c>
      <c r="B11" s="2" t="s">
        <v>7</v>
      </c>
      <c r="C11" s="4">
        <v>0.08</v>
      </c>
      <c r="D11" s="6">
        <v>2738</v>
      </c>
      <c r="E11" s="7">
        <v>164280</v>
      </c>
      <c r="F11" s="7"/>
      <c r="G11" s="8"/>
      <c r="I11" s="6">
        <f t="shared" si="5"/>
        <v>9148</v>
      </c>
      <c r="J11" s="5">
        <f t="shared" si="1"/>
        <v>71316</v>
      </c>
      <c r="K11" s="7">
        <f t="shared" ref="K11:K25" si="6">J11/15</f>
        <v>4754.3999999999996</v>
      </c>
      <c r="L11" s="7">
        <f t="shared" si="3"/>
        <v>1956.8414634146343</v>
      </c>
      <c r="M11" s="8">
        <f t="shared" si="4"/>
        <v>116.13302453499313</v>
      </c>
    </row>
    <row r="12" spans="1:13" x14ac:dyDescent="0.3">
      <c r="A12" s="3">
        <v>0.1</v>
      </c>
      <c r="B12" s="2" t="s">
        <v>7</v>
      </c>
      <c r="C12" s="4">
        <v>0.1</v>
      </c>
      <c r="D12" s="6">
        <v>2868</v>
      </c>
      <c r="E12" s="7">
        <v>172080</v>
      </c>
      <c r="F12" s="7"/>
      <c r="G12" s="8"/>
      <c r="I12" s="6">
        <f t="shared" si="5"/>
        <v>9278</v>
      </c>
      <c r="J12" s="5">
        <f t="shared" si="1"/>
        <v>72876</v>
      </c>
      <c r="K12" s="7">
        <f t="shared" si="6"/>
        <v>4858.3999999999996</v>
      </c>
      <c r="L12" s="7">
        <f t="shared" si="3"/>
        <v>1999.6463414634147</v>
      </c>
      <c r="M12" s="8">
        <f t="shared" si="4"/>
        <v>118.67337338061807</v>
      </c>
    </row>
    <row r="13" spans="1:13" x14ac:dyDescent="0.3">
      <c r="A13" s="3">
        <v>0.1</v>
      </c>
      <c r="B13" s="2" t="s">
        <v>7</v>
      </c>
      <c r="C13" s="4">
        <v>0.12</v>
      </c>
      <c r="D13" s="6">
        <v>3002</v>
      </c>
      <c r="E13" s="7">
        <v>180120</v>
      </c>
      <c r="F13" s="7"/>
      <c r="G13" s="8"/>
      <c r="I13" s="6">
        <f t="shared" si="5"/>
        <v>9412</v>
      </c>
      <c r="J13" s="5">
        <f t="shared" si="1"/>
        <v>74484</v>
      </c>
      <c r="K13" s="7">
        <f t="shared" si="6"/>
        <v>4965.6000000000004</v>
      </c>
      <c r="L13" s="7">
        <f t="shared" si="3"/>
        <v>2043.7682926829268</v>
      </c>
      <c r="M13" s="8">
        <f t="shared" si="4"/>
        <v>121.29188680610841</v>
      </c>
    </row>
    <row r="14" spans="1:13" x14ac:dyDescent="0.3">
      <c r="A14" s="3">
        <v>0.1</v>
      </c>
      <c r="B14" s="2" t="s">
        <v>16</v>
      </c>
      <c r="C14" s="4">
        <v>0.06</v>
      </c>
      <c r="D14" s="6">
        <v>1973</v>
      </c>
      <c r="E14" s="7">
        <v>165732</v>
      </c>
      <c r="F14" s="7"/>
      <c r="G14" s="8"/>
      <c r="I14" s="6">
        <f t="shared" si="5"/>
        <v>8383</v>
      </c>
      <c r="J14" s="5">
        <f t="shared" si="1"/>
        <v>62136</v>
      </c>
      <c r="K14" s="7">
        <f t="shared" si="6"/>
        <v>4142.3999999999996</v>
      </c>
      <c r="L14" s="7">
        <f t="shared" si="3"/>
        <v>1704.9512195121952</v>
      </c>
      <c r="M14" s="8">
        <f t="shared" si="4"/>
        <v>101.18404863573858</v>
      </c>
    </row>
    <row r="15" spans="1:13" x14ac:dyDescent="0.3">
      <c r="A15" s="3">
        <v>0.1</v>
      </c>
      <c r="B15" s="2" t="s">
        <v>16</v>
      </c>
      <c r="C15" s="4">
        <v>0.08</v>
      </c>
      <c r="D15" s="6">
        <v>2046</v>
      </c>
      <c r="E15" s="7">
        <v>171888</v>
      </c>
      <c r="F15" s="7"/>
      <c r="G15" s="8"/>
      <c r="I15" s="6">
        <f t="shared" si="5"/>
        <v>8456</v>
      </c>
      <c r="J15" s="5">
        <f t="shared" si="1"/>
        <v>63012</v>
      </c>
      <c r="K15" s="7">
        <f t="shared" si="6"/>
        <v>4200.8</v>
      </c>
      <c r="L15" s="7">
        <f t="shared" si="3"/>
        <v>1728.9878048780488</v>
      </c>
      <c r="M15" s="8">
        <f t="shared" si="4"/>
        <v>102.61055221828182</v>
      </c>
    </row>
    <row r="16" spans="1:13" x14ac:dyDescent="0.3">
      <c r="A16" s="3">
        <v>0.1</v>
      </c>
      <c r="B16" s="2" t="s">
        <v>16</v>
      </c>
      <c r="C16" s="4">
        <v>0.1</v>
      </c>
      <c r="D16" s="6">
        <v>2124</v>
      </c>
      <c r="E16" s="7">
        <v>178416</v>
      </c>
      <c r="F16" s="7"/>
      <c r="G16" s="8"/>
      <c r="I16" s="6">
        <f t="shared" si="5"/>
        <v>8534</v>
      </c>
      <c r="J16" s="5">
        <f t="shared" si="1"/>
        <v>63948</v>
      </c>
      <c r="K16" s="7">
        <f t="shared" si="6"/>
        <v>4263.2</v>
      </c>
      <c r="L16" s="7">
        <f t="shared" si="3"/>
        <v>1754.6707317073171</v>
      </c>
      <c r="M16" s="8">
        <f t="shared" si="4"/>
        <v>104.1347615256568</v>
      </c>
    </row>
    <row r="17" spans="1:13" x14ac:dyDescent="0.3">
      <c r="A17" s="3">
        <v>0.1</v>
      </c>
      <c r="B17" s="2" t="s">
        <v>16</v>
      </c>
      <c r="C17" s="4">
        <v>0.12</v>
      </c>
      <c r="D17" s="6">
        <v>2206</v>
      </c>
      <c r="E17" s="7">
        <v>185304</v>
      </c>
      <c r="F17" s="7"/>
      <c r="G17" s="8"/>
      <c r="I17" s="6">
        <f t="shared" si="5"/>
        <v>8616</v>
      </c>
      <c r="J17" s="5">
        <f t="shared" si="1"/>
        <v>64932</v>
      </c>
      <c r="K17" s="7">
        <f t="shared" si="6"/>
        <v>4328.8</v>
      </c>
      <c r="L17" s="7">
        <f t="shared" si="3"/>
        <v>1781.6707317073171</v>
      </c>
      <c r="M17" s="8">
        <f t="shared" si="4"/>
        <v>105.73713541289715</v>
      </c>
    </row>
    <row r="18" spans="1:13" x14ac:dyDescent="0.3">
      <c r="A18" s="3">
        <v>0.2</v>
      </c>
      <c r="B18" s="2" t="s">
        <v>7</v>
      </c>
      <c r="C18" s="4">
        <v>0.06</v>
      </c>
      <c r="D18" s="6">
        <v>2320</v>
      </c>
      <c r="E18" s="5">
        <v>139200</v>
      </c>
      <c r="I18" s="6">
        <f t="shared" si="5"/>
        <v>8730</v>
      </c>
      <c r="J18" s="5">
        <f t="shared" ref="J18:J25" si="7">(6410*6)+(D18*12)</f>
        <v>66300</v>
      </c>
      <c r="K18" s="7">
        <f t="shared" si="6"/>
        <v>4420</v>
      </c>
      <c r="L18" s="7">
        <f t="shared" si="3"/>
        <v>1819.2073170731705</v>
      </c>
      <c r="M18" s="8">
        <f t="shared" si="4"/>
        <v>107.96482593906056</v>
      </c>
    </row>
    <row r="19" spans="1:13" x14ac:dyDescent="0.3">
      <c r="A19" s="3">
        <v>0.2</v>
      </c>
      <c r="B19" s="2" t="s">
        <v>7</v>
      </c>
      <c r="C19" s="4">
        <v>0.08</v>
      </c>
      <c r="D19" s="6">
        <v>2433</v>
      </c>
      <c r="E19" s="5">
        <v>145980</v>
      </c>
      <c r="I19" s="6">
        <f t="shared" si="5"/>
        <v>8843</v>
      </c>
      <c r="J19" s="5">
        <f t="shared" si="7"/>
        <v>67656</v>
      </c>
      <c r="K19" s="7">
        <f t="shared" si="6"/>
        <v>4510.3999999999996</v>
      </c>
      <c r="L19" s="7">
        <f t="shared" si="3"/>
        <v>1856.4146341463415</v>
      </c>
      <c r="M19" s="8">
        <f t="shared" si="4"/>
        <v>110.17297532025765</v>
      </c>
    </row>
    <row r="20" spans="1:13" x14ac:dyDescent="0.3">
      <c r="A20" s="3">
        <v>0.2</v>
      </c>
      <c r="B20" s="2" t="s">
        <v>7</v>
      </c>
      <c r="C20" s="4">
        <v>0.1</v>
      </c>
      <c r="D20" s="6">
        <v>2550</v>
      </c>
      <c r="E20" s="5">
        <v>153000</v>
      </c>
      <c r="I20" s="6">
        <f t="shared" si="5"/>
        <v>8960</v>
      </c>
      <c r="J20" s="5">
        <f t="shared" si="7"/>
        <v>69060</v>
      </c>
      <c r="K20" s="7">
        <f t="shared" si="6"/>
        <v>4604</v>
      </c>
      <c r="L20" s="7">
        <f t="shared" si="3"/>
        <v>1894.939024390244</v>
      </c>
      <c r="M20" s="8">
        <f t="shared" si="4"/>
        <v>112.45928928132011</v>
      </c>
    </row>
    <row r="21" spans="1:13" x14ac:dyDescent="0.3">
      <c r="A21" s="3">
        <v>0.2</v>
      </c>
      <c r="B21" s="2" t="s">
        <v>7</v>
      </c>
      <c r="C21" s="4">
        <v>0.12</v>
      </c>
      <c r="D21" s="6">
        <v>2669</v>
      </c>
      <c r="E21" s="5">
        <v>160140</v>
      </c>
      <c r="I21" s="6">
        <f t="shared" si="5"/>
        <v>9079</v>
      </c>
      <c r="J21" s="5">
        <f t="shared" si="7"/>
        <v>70488</v>
      </c>
      <c r="K21" s="7">
        <f t="shared" si="6"/>
        <v>4699.2</v>
      </c>
      <c r="L21" s="7">
        <f t="shared" si="3"/>
        <v>1934.1219512195123</v>
      </c>
      <c r="M21" s="8">
        <f t="shared" si="4"/>
        <v>114.78468553231527</v>
      </c>
    </row>
    <row r="22" spans="1:13" x14ac:dyDescent="0.3">
      <c r="A22" s="3">
        <v>0.2</v>
      </c>
      <c r="B22" s="2" t="s">
        <v>16</v>
      </c>
      <c r="C22" s="4">
        <v>0.06</v>
      </c>
      <c r="D22" s="6">
        <v>1754</v>
      </c>
      <c r="E22" s="5">
        <v>147336</v>
      </c>
      <c r="I22" s="6">
        <f t="shared" si="5"/>
        <v>8164</v>
      </c>
      <c r="J22" s="5">
        <f t="shared" si="7"/>
        <v>59508</v>
      </c>
      <c r="K22" s="7">
        <f t="shared" si="6"/>
        <v>3967.2</v>
      </c>
      <c r="L22" s="7">
        <f t="shared" si="3"/>
        <v>1632.8414634146343</v>
      </c>
      <c r="M22" s="8">
        <f t="shared" si="4"/>
        <v>96.904537888108848</v>
      </c>
    </row>
    <row r="23" spans="1:13" x14ac:dyDescent="0.3">
      <c r="A23" s="3">
        <v>0.2</v>
      </c>
      <c r="B23" s="2" t="s">
        <v>16</v>
      </c>
      <c r="C23" s="4">
        <v>0.08</v>
      </c>
      <c r="D23" s="6">
        <v>1819</v>
      </c>
      <c r="E23" s="5">
        <v>152796</v>
      </c>
      <c r="I23" s="6">
        <f t="shared" si="5"/>
        <v>8229</v>
      </c>
      <c r="J23" s="5">
        <f t="shared" si="7"/>
        <v>60288</v>
      </c>
      <c r="K23" s="7">
        <f t="shared" si="6"/>
        <v>4019.2</v>
      </c>
      <c r="L23" s="7">
        <f t="shared" si="3"/>
        <v>1654.2439024390244</v>
      </c>
      <c r="M23" s="8">
        <f t="shared" si="4"/>
        <v>98.174712310921322</v>
      </c>
    </row>
    <row r="24" spans="1:13" x14ac:dyDescent="0.3">
      <c r="A24" s="3">
        <v>0.2</v>
      </c>
      <c r="B24" s="2" t="s">
        <v>16</v>
      </c>
      <c r="C24" s="4">
        <v>0.1</v>
      </c>
      <c r="D24" s="6">
        <v>1888</v>
      </c>
      <c r="E24" s="5">
        <v>158992</v>
      </c>
      <c r="I24" s="6">
        <f t="shared" si="5"/>
        <v>8298</v>
      </c>
      <c r="J24" s="5">
        <f t="shared" si="7"/>
        <v>61116</v>
      </c>
      <c r="K24" s="7">
        <f t="shared" si="6"/>
        <v>4074.4</v>
      </c>
      <c r="L24" s="7">
        <f t="shared" si="3"/>
        <v>1676.9634146341464</v>
      </c>
      <c r="M24" s="8">
        <f t="shared" si="4"/>
        <v>99.523051313599183</v>
      </c>
    </row>
    <row r="25" spans="1:13" x14ac:dyDescent="0.3">
      <c r="A25" s="3">
        <v>0.2</v>
      </c>
      <c r="B25" s="2" t="s">
        <v>16</v>
      </c>
      <c r="C25" s="4">
        <v>0.12</v>
      </c>
      <c r="D25" s="6">
        <v>1961</v>
      </c>
      <c r="E25" s="5">
        <v>164724</v>
      </c>
      <c r="I25" s="6">
        <f t="shared" si="5"/>
        <v>8371</v>
      </c>
      <c r="J25" s="5">
        <f t="shared" si="7"/>
        <v>61992</v>
      </c>
      <c r="K25" s="7">
        <f t="shared" si="6"/>
        <v>4132.8</v>
      </c>
      <c r="L25" s="7">
        <f t="shared" si="3"/>
        <v>1701</v>
      </c>
      <c r="M25" s="8">
        <f t="shared" si="4"/>
        <v>100.94955489614243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C8C0A-362E-42F8-B8B4-0AFA4CE0FDC5}">
  <dimension ref="A1:C232"/>
  <sheetViews>
    <sheetView tabSelected="1" topLeftCell="A79" workbookViewId="0">
      <selection activeCell="B2" sqref="B2"/>
    </sheetView>
  </sheetViews>
  <sheetFormatPr defaultRowHeight="14.4" x14ac:dyDescent="0.3"/>
  <cols>
    <col min="1" max="1" width="19.5546875" customWidth="1"/>
    <col min="2" max="2" width="17.33203125" customWidth="1"/>
    <col min="3" max="3" width="15.109375" customWidth="1"/>
  </cols>
  <sheetData>
    <row r="1" spans="1:3" x14ac:dyDescent="0.3">
      <c r="A1" t="s">
        <v>31</v>
      </c>
      <c r="B1" t="s">
        <v>32</v>
      </c>
      <c r="C1" t="s">
        <v>33</v>
      </c>
    </row>
    <row r="2" spans="1:3" x14ac:dyDescent="0.3">
      <c r="A2">
        <v>20</v>
      </c>
      <c r="B2" s="7">
        <f>(A2*16.85) - break_even_analysis!$L$18</f>
        <v>-1482.2073170731705</v>
      </c>
      <c r="C2" s="7">
        <f>B2*41</f>
        <v>-60770.499999999993</v>
      </c>
    </row>
    <row r="3" spans="1:3" x14ac:dyDescent="0.3">
      <c r="A3">
        <v>21</v>
      </c>
      <c r="B3" s="7">
        <f>(A3*16.85) - break_even_analysis!$L$18</f>
        <v>-1465.3573170731706</v>
      </c>
      <c r="C3" s="7">
        <f t="shared" ref="C3:C66" si="0">B3*41</f>
        <v>-60079.649999999994</v>
      </c>
    </row>
    <row r="4" spans="1:3" x14ac:dyDescent="0.3">
      <c r="A4">
        <v>22</v>
      </c>
      <c r="B4" s="7">
        <f>(A4*16.85) - break_even_analysis!$L$18</f>
        <v>-1448.5073170731705</v>
      </c>
      <c r="C4" s="7">
        <f t="shared" si="0"/>
        <v>-59388.799999999988</v>
      </c>
    </row>
    <row r="5" spans="1:3" x14ac:dyDescent="0.3">
      <c r="A5">
        <v>23</v>
      </c>
      <c r="B5" s="7">
        <f>(A5*16.85) - break_even_analysis!$L$18</f>
        <v>-1431.6573170731706</v>
      </c>
      <c r="C5" s="7">
        <f t="shared" si="0"/>
        <v>-58697.95</v>
      </c>
    </row>
    <row r="6" spans="1:3" x14ac:dyDescent="0.3">
      <c r="A6">
        <v>24</v>
      </c>
      <c r="B6" s="7">
        <f>(A6*16.85) - break_even_analysis!$L$18</f>
        <v>-1414.8073170731705</v>
      </c>
      <c r="C6" s="7">
        <f t="shared" si="0"/>
        <v>-58007.099999999991</v>
      </c>
    </row>
    <row r="7" spans="1:3" x14ac:dyDescent="0.3">
      <c r="A7">
        <v>25</v>
      </c>
      <c r="B7" s="7">
        <f>(A7*16.85) - break_even_analysis!$L$18</f>
        <v>-1397.9573170731705</v>
      </c>
      <c r="C7" s="7">
        <f t="shared" si="0"/>
        <v>-57316.249999999993</v>
      </c>
    </row>
    <row r="8" spans="1:3" x14ac:dyDescent="0.3">
      <c r="A8">
        <v>26</v>
      </c>
      <c r="B8" s="7">
        <f>(A8*16.85) - break_even_analysis!$L$18</f>
        <v>-1381.1073170731706</v>
      </c>
      <c r="C8" s="7">
        <f t="shared" si="0"/>
        <v>-56625.399999999994</v>
      </c>
    </row>
    <row r="9" spans="1:3" x14ac:dyDescent="0.3">
      <c r="A9">
        <v>27</v>
      </c>
      <c r="B9" s="7">
        <f>(A9*16.85) - break_even_analysis!$L$18</f>
        <v>-1364.2573170731705</v>
      </c>
      <c r="C9" s="7">
        <f t="shared" si="0"/>
        <v>-55934.549999999988</v>
      </c>
    </row>
    <row r="10" spans="1:3" x14ac:dyDescent="0.3">
      <c r="A10">
        <v>28</v>
      </c>
      <c r="B10" s="7">
        <f>(A10*16.85) - break_even_analysis!$L$18</f>
        <v>-1347.4073170731704</v>
      </c>
      <c r="C10" s="7">
        <f t="shared" si="0"/>
        <v>-55243.699999999983</v>
      </c>
    </row>
    <row r="11" spans="1:3" x14ac:dyDescent="0.3">
      <c r="A11">
        <v>29</v>
      </c>
      <c r="B11" s="7">
        <f>(A11*16.85) - break_even_analysis!$L$18</f>
        <v>-1330.5573170731705</v>
      </c>
      <c r="C11" s="7">
        <f t="shared" si="0"/>
        <v>-54552.849999999991</v>
      </c>
    </row>
    <row r="12" spans="1:3" x14ac:dyDescent="0.3">
      <c r="A12">
        <v>30</v>
      </c>
      <c r="B12" s="7">
        <f>(A12*16.85) - break_even_analysis!$L$18</f>
        <v>-1313.7073170731705</v>
      </c>
      <c r="C12" s="7">
        <f t="shared" si="0"/>
        <v>-53861.999999999993</v>
      </c>
    </row>
    <row r="13" spans="1:3" x14ac:dyDescent="0.3">
      <c r="A13">
        <v>31</v>
      </c>
      <c r="B13" s="7">
        <f>(A13*16.85) - break_even_analysis!$L$18</f>
        <v>-1296.8573170731706</v>
      </c>
      <c r="C13" s="7">
        <f t="shared" si="0"/>
        <v>-53171.149999999994</v>
      </c>
    </row>
    <row r="14" spans="1:3" x14ac:dyDescent="0.3">
      <c r="A14">
        <v>32</v>
      </c>
      <c r="B14" s="7">
        <f>(A14*16.85) - break_even_analysis!$L$18</f>
        <v>-1280.0073170731705</v>
      </c>
      <c r="C14" s="7">
        <f t="shared" si="0"/>
        <v>-52480.299999999988</v>
      </c>
    </row>
    <row r="15" spans="1:3" x14ac:dyDescent="0.3">
      <c r="A15">
        <v>33</v>
      </c>
      <c r="B15" s="7">
        <f>(A15*16.85) - break_even_analysis!$L$18</f>
        <v>-1263.1573170731704</v>
      </c>
      <c r="C15" s="7">
        <f t="shared" si="0"/>
        <v>-51789.449999999983</v>
      </c>
    </row>
    <row r="16" spans="1:3" x14ac:dyDescent="0.3">
      <c r="A16">
        <v>34</v>
      </c>
      <c r="B16" s="7">
        <f>(A16*16.85) - break_even_analysis!$L$18</f>
        <v>-1246.3073170731705</v>
      </c>
      <c r="C16" s="7">
        <f t="shared" si="0"/>
        <v>-51098.599999999991</v>
      </c>
    </row>
    <row r="17" spans="1:3" x14ac:dyDescent="0.3">
      <c r="A17">
        <v>35</v>
      </c>
      <c r="B17" s="7">
        <f>(A17*16.85) - break_even_analysis!$L$18</f>
        <v>-1229.4573170731705</v>
      </c>
      <c r="C17" s="7">
        <f t="shared" si="0"/>
        <v>-50407.749999999993</v>
      </c>
    </row>
    <row r="18" spans="1:3" x14ac:dyDescent="0.3">
      <c r="A18">
        <v>36</v>
      </c>
      <c r="B18" s="7">
        <f>(A18*16.85) - break_even_analysis!$L$18</f>
        <v>-1212.6073170731706</v>
      </c>
      <c r="C18" s="7">
        <f t="shared" si="0"/>
        <v>-49716.899999999994</v>
      </c>
    </row>
    <row r="19" spans="1:3" x14ac:dyDescent="0.3">
      <c r="A19">
        <v>37</v>
      </c>
      <c r="B19" s="7">
        <f>(A19*16.85) - break_even_analysis!$L$18</f>
        <v>-1195.7573170731705</v>
      </c>
      <c r="C19" s="7">
        <f t="shared" si="0"/>
        <v>-49026.049999999988</v>
      </c>
    </row>
    <row r="20" spans="1:3" x14ac:dyDescent="0.3">
      <c r="A20">
        <v>38</v>
      </c>
      <c r="B20" s="7">
        <f>(A20*16.85) - break_even_analysis!$L$18</f>
        <v>-1178.9073170731704</v>
      </c>
      <c r="C20" s="7">
        <f t="shared" si="0"/>
        <v>-48335.199999999983</v>
      </c>
    </row>
    <row r="21" spans="1:3" x14ac:dyDescent="0.3">
      <c r="A21">
        <v>39</v>
      </c>
      <c r="B21" s="7">
        <f>(A21*16.85) - break_even_analysis!$L$18</f>
        <v>-1162.0573170731705</v>
      </c>
      <c r="C21" s="7">
        <f t="shared" si="0"/>
        <v>-47644.349999999991</v>
      </c>
    </row>
    <row r="22" spans="1:3" x14ac:dyDescent="0.3">
      <c r="A22">
        <v>40</v>
      </c>
      <c r="B22" s="7">
        <f>(A22*16.85) - break_even_analysis!$L$18</f>
        <v>-1145.2073170731705</v>
      </c>
      <c r="C22" s="7">
        <f t="shared" si="0"/>
        <v>-46953.499999999993</v>
      </c>
    </row>
    <row r="23" spans="1:3" x14ac:dyDescent="0.3">
      <c r="A23">
        <v>41</v>
      </c>
      <c r="B23" s="7">
        <f>(A23*16.85) - break_even_analysis!$L$18</f>
        <v>-1128.3573170731706</v>
      </c>
      <c r="C23" s="7">
        <f t="shared" si="0"/>
        <v>-46262.649999999994</v>
      </c>
    </row>
    <row r="24" spans="1:3" x14ac:dyDescent="0.3">
      <c r="A24">
        <v>42</v>
      </c>
      <c r="B24" s="7">
        <f>(A24*16.85) - break_even_analysis!$L$18</f>
        <v>-1111.5073170731705</v>
      </c>
      <c r="C24" s="7">
        <f t="shared" si="0"/>
        <v>-45571.799999999988</v>
      </c>
    </row>
    <row r="25" spans="1:3" x14ac:dyDescent="0.3">
      <c r="A25">
        <v>43</v>
      </c>
      <c r="B25" s="7">
        <f>(A25*16.85) - break_even_analysis!$L$18</f>
        <v>-1094.6573170731704</v>
      </c>
      <c r="C25" s="7">
        <f t="shared" si="0"/>
        <v>-44880.949999999983</v>
      </c>
    </row>
    <row r="26" spans="1:3" x14ac:dyDescent="0.3">
      <c r="A26">
        <v>44</v>
      </c>
      <c r="B26" s="7">
        <f>(A26*16.85) - break_even_analysis!$L$18</f>
        <v>-1077.8073170731705</v>
      </c>
      <c r="C26" s="7">
        <f t="shared" si="0"/>
        <v>-44190.099999999991</v>
      </c>
    </row>
    <row r="27" spans="1:3" x14ac:dyDescent="0.3">
      <c r="A27">
        <v>45</v>
      </c>
      <c r="B27" s="7">
        <f>(A27*16.85) - break_even_analysis!$L$18</f>
        <v>-1060.9573170731705</v>
      </c>
      <c r="C27" s="7">
        <f t="shared" si="0"/>
        <v>-43499.249999999993</v>
      </c>
    </row>
    <row r="28" spans="1:3" x14ac:dyDescent="0.3">
      <c r="A28">
        <v>46</v>
      </c>
      <c r="B28" s="7">
        <f>(A28*16.85) - break_even_analysis!$L$18</f>
        <v>-1044.1073170731706</v>
      </c>
      <c r="C28" s="7">
        <f t="shared" si="0"/>
        <v>-42808.399999999994</v>
      </c>
    </row>
    <row r="29" spans="1:3" x14ac:dyDescent="0.3">
      <c r="A29">
        <v>47</v>
      </c>
      <c r="B29" s="7">
        <f>(A29*16.85) - break_even_analysis!$L$18</f>
        <v>-1027.2573170731705</v>
      </c>
      <c r="C29" s="7">
        <f t="shared" si="0"/>
        <v>-42117.549999999988</v>
      </c>
    </row>
    <row r="30" spans="1:3" x14ac:dyDescent="0.3">
      <c r="A30">
        <v>48</v>
      </c>
      <c r="B30" s="7">
        <f>(A30*16.85) - break_even_analysis!$L$18</f>
        <v>-1010.4073170731705</v>
      </c>
      <c r="C30" s="7">
        <f t="shared" si="0"/>
        <v>-41426.69999999999</v>
      </c>
    </row>
    <row r="31" spans="1:3" x14ac:dyDescent="0.3">
      <c r="A31">
        <v>49</v>
      </c>
      <c r="B31" s="7">
        <f>(A31*16.85) - break_even_analysis!$L$18</f>
        <v>-993.55731707317045</v>
      </c>
      <c r="C31" s="7">
        <f t="shared" si="0"/>
        <v>-40735.849999999991</v>
      </c>
    </row>
    <row r="32" spans="1:3" x14ac:dyDescent="0.3">
      <c r="A32">
        <v>50</v>
      </c>
      <c r="B32" s="7">
        <f>(A32*16.85) - break_even_analysis!$L$18</f>
        <v>-976.70731707317043</v>
      </c>
      <c r="C32" s="7">
        <f t="shared" si="0"/>
        <v>-40044.999999999985</v>
      </c>
    </row>
    <row r="33" spans="1:3" x14ac:dyDescent="0.3">
      <c r="A33">
        <v>51</v>
      </c>
      <c r="B33" s="7">
        <f>(A33*16.85) - break_even_analysis!$L$18</f>
        <v>-959.85731707317052</v>
      </c>
      <c r="C33" s="7">
        <f t="shared" si="0"/>
        <v>-39354.149999999994</v>
      </c>
    </row>
    <row r="34" spans="1:3" x14ac:dyDescent="0.3">
      <c r="A34">
        <v>52</v>
      </c>
      <c r="B34" s="7">
        <f>(A34*16.85) - break_even_analysis!$L$18</f>
        <v>-943.0073170731705</v>
      </c>
      <c r="C34" s="7">
        <f t="shared" si="0"/>
        <v>-38663.299999999988</v>
      </c>
    </row>
    <row r="35" spans="1:3" x14ac:dyDescent="0.3">
      <c r="A35">
        <v>53</v>
      </c>
      <c r="B35" s="7">
        <f>(A35*16.85) - break_even_analysis!$L$18</f>
        <v>-926.15731707317047</v>
      </c>
      <c r="C35" s="7">
        <f t="shared" si="0"/>
        <v>-37972.44999999999</v>
      </c>
    </row>
    <row r="36" spans="1:3" x14ac:dyDescent="0.3">
      <c r="A36">
        <v>54</v>
      </c>
      <c r="B36" s="7">
        <f>(A36*16.85) - break_even_analysis!$L$18</f>
        <v>-909.30731707317045</v>
      </c>
      <c r="C36" s="7">
        <f t="shared" si="0"/>
        <v>-37281.599999999991</v>
      </c>
    </row>
    <row r="37" spans="1:3" x14ac:dyDescent="0.3">
      <c r="A37">
        <v>55</v>
      </c>
      <c r="B37" s="7">
        <f>(A37*16.85) - break_even_analysis!$L$18</f>
        <v>-892.45731707317043</v>
      </c>
      <c r="C37" s="7">
        <f t="shared" si="0"/>
        <v>-36590.749999999985</v>
      </c>
    </row>
    <row r="38" spans="1:3" x14ac:dyDescent="0.3">
      <c r="A38">
        <v>56</v>
      </c>
      <c r="B38" s="7">
        <f>(A38*16.85) - break_even_analysis!$L$18</f>
        <v>-875.60731707317041</v>
      </c>
      <c r="C38" s="7">
        <f t="shared" si="0"/>
        <v>-35899.899999999987</v>
      </c>
    </row>
    <row r="39" spans="1:3" x14ac:dyDescent="0.3">
      <c r="A39">
        <v>57</v>
      </c>
      <c r="B39" s="7">
        <f>(A39*16.85) - break_even_analysis!$L$18</f>
        <v>-858.7573170731705</v>
      </c>
      <c r="C39" s="7">
        <f t="shared" si="0"/>
        <v>-35209.049999999988</v>
      </c>
    </row>
    <row r="40" spans="1:3" x14ac:dyDescent="0.3">
      <c r="A40">
        <v>58</v>
      </c>
      <c r="B40" s="7">
        <f>(A40*16.85) - break_even_analysis!$L$18</f>
        <v>-841.90731707317047</v>
      </c>
      <c r="C40" s="7">
        <f t="shared" si="0"/>
        <v>-34518.19999999999</v>
      </c>
    </row>
    <row r="41" spans="1:3" x14ac:dyDescent="0.3">
      <c r="A41">
        <v>59</v>
      </c>
      <c r="B41" s="7">
        <f>(A41*16.85) - break_even_analysis!$L$18</f>
        <v>-825.05731707317045</v>
      </c>
      <c r="C41" s="7">
        <f t="shared" si="0"/>
        <v>-33827.349999999991</v>
      </c>
    </row>
    <row r="42" spans="1:3" x14ac:dyDescent="0.3">
      <c r="A42">
        <v>60</v>
      </c>
      <c r="B42" s="7">
        <f>(A42*16.85) - break_even_analysis!$L$18</f>
        <v>-808.20731707317043</v>
      </c>
      <c r="C42" s="7">
        <f t="shared" si="0"/>
        <v>-33136.499999999985</v>
      </c>
    </row>
    <row r="43" spans="1:3" x14ac:dyDescent="0.3">
      <c r="A43">
        <v>61</v>
      </c>
      <c r="B43" s="7">
        <f>(A43*16.85) - break_even_analysis!$L$18</f>
        <v>-791.35731707317041</v>
      </c>
      <c r="C43" s="7">
        <f t="shared" si="0"/>
        <v>-32445.649999999987</v>
      </c>
    </row>
    <row r="44" spans="1:3" x14ac:dyDescent="0.3">
      <c r="A44">
        <v>62</v>
      </c>
      <c r="B44" s="7">
        <f>(A44*16.85) - break_even_analysis!$L$18</f>
        <v>-774.5073170731705</v>
      </c>
      <c r="C44" s="7">
        <f t="shared" si="0"/>
        <v>-31754.799999999992</v>
      </c>
    </row>
    <row r="45" spans="1:3" x14ac:dyDescent="0.3">
      <c r="A45">
        <v>63</v>
      </c>
      <c r="B45" s="7">
        <f>(A45*16.85) - break_even_analysis!$L$18</f>
        <v>-757.65731707317036</v>
      </c>
      <c r="C45" s="7">
        <f t="shared" si="0"/>
        <v>-31063.949999999986</v>
      </c>
    </row>
    <row r="46" spans="1:3" x14ac:dyDescent="0.3">
      <c r="A46">
        <v>64</v>
      </c>
      <c r="B46" s="7">
        <f>(A46*16.85) - break_even_analysis!$L$18</f>
        <v>-740.80731707317045</v>
      </c>
      <c r="C46" s="7">
        <f t="shared" si="0"/>
        <v>-30373.099999999988</v>
      </c>
    </row>
    <row r="47" spans="1:3" x14ac:dyDescent="0.3">
      <c r="A47">
        <v>65</v>
      </c>
      <c r="B47" s="7">
        <f>(A47*16.85) - break_even_analysis!$L$18</f>
        <v>-723.95731707317054</v>
      </c>
      <c r="C47" s="7">
        <f t="shared" si="0"/>
        <v>-29682.249999999993</v>
      </c>
    </row>
    <row r="48" spans="1:3" x14ac:dyDescent="0.3">
      <c r="A48">
        <v>66</v>
      </c>
      <c r="B48" s="7">
        <f>(A48*16.85) - break_even_analysis!$L$18</f>
        <v>-707.10731707317041</v>
      </c>
      <c r="C48" s="7">
        <f t="shared" si="0"/>
        <v>-28991.399999999987</v>
      </c>
    </row>
    <row r="49" spans="1:3" x14ac:dyDescent="0.3">
      <c r="A49">
        <v>67</v>
      </c>
      <c r="B49" s="7">
        <f>(A49*16.85) - break_even_analysis!$L$18</f>
        <v>-690.2573170731705</v>
      </c>
      <c r="C49" s="7">
        <f t="shared" si="0"/>
        <v>-28300.549999999992</v>
      </c>
    </row>
    <row r="50" spans="1:3" x14ac:dyDescent="0.3">
      <c r="A50">
        <v>68</v>
      </c>
      <c r="B50" s="7">
        <f>(A50*16.85) - break_even_analysis!$L$18</f>
        <v>-673.40731707317036</v>
      </c>
      <c r="C50" s="7">
        <f t="shared" si="0"/>
        <v>-27609.699999999986</v>
      </c>
    </row>
    <row r="51" spans="1:3" x14ac:dyDescent="0.3">
      <c r="A51">
        <v>69</v>
      </c>
      <c r="B51" s="7">
        <f>(A51*16.85) - break_even_analysis!$L$18</f>
        <v>-656.55731707317045</v>
      </c>
      <c r="C51" s="7">
        <f t="shared" si="0"/>
        <v>-26918.849999999988</v>
      </c>
    </row>
    <row r="52" spans="1:3" x14ac:dyDescent="0.3">
      <c r="A52">
        <v>70</v>
      </c>
      <c r="B52" s="7">
        <f>(A52*16.85) - break_even_analysis!$L$18</f>
        <v>-639.70731707317054</v>
      </c>
      <c r="C52" s="7">
        <f t="shared" si="0"/>
        <v>-26227.999999999993</v>
      </c>
    </row>
    <row r="53" spans="1:3" x14ac:dyDescent="0.3">
      <c r="A53">
        <v>71</v>
      </c>
      <c r="B53" s="7">
        <f>(A53*16.85) - break_even_analysis!$L$18</f>
        <v>-622.85731707317041</v>
      </c>
      <c r="C53" s="7">
        <f t="shared" si="0"/>
        <v>-25537.149999999987</v>
      </c>
    </row>
    <row r="54" spans="1:3" x14ac:dyDescent="0.3">
      <c r="A54">
        <v>72</v>
      </c>
      <c r="B54" s="7">
        <f>(A54*16.85) - break_even_analysis!$L$18</f>
        <v>-606.0073170731705</v>
      </c>
      <c r="C54" s="7">
        <f t="shared" si="0"/>
        <v>-24846.299999999992</v>
      </c>
    </row>
    <row r="55" spans="1:3" x14ac:dyDescent="0.3">
      <c r="A55">
        <v>73</v>
      </c>
      <c r="B55" s="7">
        <f>(A55*16.85) - break_even_analysis!$L$18</f>
        <v>-589.15731707317036</v>
      </c>
      <c r="C55" s="7">
        <f t="shared" si="0"/>
        <v>-24155.449999999986</v>
      </c>
    </row>
    <row r="56" spans="1:3" x14ac:dyDescent="0.3">
      <c r="A56">
        <v>74</v>
      </c>
      <c r="B56" s="7">
        <f>(A56*16.85) - break_even_analysis!$L$18</f>
        <v>-572.30731707317045</v>
      </c>
      <c r="C56" s="7">
        <f t="shared" si="0"/>
        <v>-23464.599999999988</v>
      </c>
    </row>
    <row r="57" spans="1:3" x14ac:dyDescent="0.3">
      <c r="A57">
        <v>75</v>
      </c>
      <c r="B57" s="7">
        <f>(A57*16.85) - break_even_analysis!$L$18</f>
        <v>-555.45731707317054</v>
      </c>
      <c r="C57" s="7">
        <f t="shared" si="0"/>
        <v>-22773.749999999993</v>
      </c>
    </row>
    <row r="58" spans="1:3" x14ac:dyDescent="0.3">
      <c r="A58">
        <v>76</v>
      </c>
      <c r="B58" s="7">
        <f>(A58*16.85) - break_even_analysis!$L$18</f>
        <v>-538.60731707317041</v>
      </c>
      <c r="C58" s="7">
        <f t="shared" si="0"/>
        <v>-22082.899999999987</v>
      </c>
    </row>
    <row r="59" spans="1:3" x14ac:dyDescent="0.3">
      <c r="A59">
        <v>77</v>
      </c>
      <c r="B59" s="7">
        <f>(A59*16.85) - break_even_analysis!$L$18</f>
        <v>-521.7573170731705</v>
      </c>
      <c r="C59" s="7">
        <f t="shared" si="0"/>
        <v>-21392.049999999992</v>
      </c>
    </row>
    <row r="60" spans="1:3" x14ac:dyDescent="0.3">
      <c r="A60">
        <v>78</v>
      </c>
      <c r="B60" s="7">
        <f>(A60*16.85) - break_even_analysis!$L$18</f>
        <v>-504.90731707317036</v>
      </c>
      <c r="C60" s="7">
        <f t="shared" si="0"/>
        <v>-20701.199999999986</v>
      </c>
    </row>
    <row r="61" spans="1:3" x14ac:dyDescent="0.3">
      <c r="A61">
        <v>79</v>
      </c>
      <c r="B61" s="7">
        <f>(A61*16.85) - break_even_analysis!$L$18</f>
        <v>-488.05731707317045</v>
      </c>
      <c r="C61" s="7">
        <f t="shared" si="0"/>
        <v>-20010.349999999988</v>
      </c>
    </row>
    <row r="62" spans="1:3" x14ac:dyDescent="0.3">
      <c r="A62">
        <v>80</v>
      </c>
      <c r="B62" s="7">
        <f>(A62*16.85) - break_even_analysis!$L$18</f>
        <v>-471.20731707317054</v>
      </c>
      <c r="C62" s="7">
        <f t="shared" si="0"/>
        <v>-19319.499999999993</v>
      </c>
    </row>
    <row r="63" spans="1:3" x14ac:dyDescent="0.3">
      <c r="A63">
        <v>81</v>
      </c>
      <c r="B63" s="7">
        <f>(A63*16.85) - break_even_analysis!$L$18</f>
        <v>-454.35731707317041</v>
      </c>
      <c r="C63" s="7">
        <f t="shared" si="0"/>
        <v>-18628.649999999987</v>
      </c>
    </row>
    <row r="64" spans="1:3" x14ac:dyDescent="0.3">
      <c r="A64">
        <v>82</v>
      </c>
      <c r="B64" s="7">
        <f>(A64*16.85) - break_even_analysis!$L$18</f>
        <v>-437.5073170731705</v>
      </c>
      <c r="C64" s="7">
        <f t="shared" si="0"/>
        <v>-17937.799999999992</v>
      </c>
    </row>
    <row r="65" spans="1:3" x14ac:dyDescent="0.3">
      <c r="A65">
        <v>83</v>
      </c>
      <c r="B65" s="7">
        <f>(A65*16.85) - break_even_analysis!$L$18</f>
        <v>-420.65731707317036</v>
      </c>
      <c r="C65" s="7">
        <f t="shared" si="0"/>
        <v>-17246.949999999986</v>
      </c>
    </row>
    <row r="66" spans="1:3" x14ac:dyDescent="0.3">
      <c r="A66">
        <v>84</v>
      </c>
      <c r="B66" s="7">
        <f>(A66*16.85) - break_even_analysis!$L$18</f>
        <v>-403.80731707317045</v>
      </c>
      <c r="C66" s="7">
        <f t="shared" si="0"/>
        <v>-16556.099999999988</v>
      </c>
    </row>
    <row r="67" spans="1:3" x14ac:dyDescent="0.3">
      <c r="A67">
        <v>85</v>
      </c>
      <c r="B67" s="7">
        <f>(A67*16.85) - break_even_analysis!$L$18</f>
        <v>-386.95731707317032</v>
      </c>
      <c r="C67" s="7">
        <f t="shared" ref="C67:C130" si="1">B67*41</f>
        <v>-15865.249999999984</v>
      </c>
    </row>
    <row r="68" spans="1:3" x14ac:dyDescent="0.3">
      <c r="A68">
        <v>86</v>
      </c>
      <c r="B68" s="7">
        <f>(A68*16.85) - break_even_analysis!$L$18</f>
        <v>-370.10731707317041</v>
      </c>
      <c r="C68" s="7">
        <f t="shared" si="1"/>
        <v>-15174.399999999987</v>
      </c>
    </row>
    <row r="69" spans="1:3" x14ac:dyDescent="0.3">
      <c r="A69">
        <v>87</v>
      </c>
      <c r="B69" s="7">
        <f>(A69*16.85) - break_even_analysis!$L$18</f>
        <v>-353.2573170731705</v>
      </c>
      <c r="C69" s="7">
        <f t="shared" si="1"/>
        <v>-14483.54999999999</v>
      </c>
    </row>
    <row r="70" spans="1:3" x14ac:dyDescent="0.3">
      <c r="A70">
        <v>88</v>
      </c>
      <c r="B70" s="7">
        <f>(A70*16.85) - break_even_analysis!$L$18</f>
        <v>-336.40731707317036</v>
      </c>
      <c r="C70" s="7">
        <f t="shared" si="1"/>
        <v>-13792.699999999984</v>
      </c>
    </row>
    <row r="71" spans="1:3" x14ac:dyDescent="0.3">
      <c r="A71">
        <v>89</v>
      </c>
      <c r="B71" s="7">
        <f>(A71*16.85) - break_even_analysis!$L$18</f>
        <v>-319.55731707317045</v>
      </c>
      <c r="C71" s="7">
        <f t="shared" si="1"/>
        <v>-13101.849999999988</v>
      </c>
    </row>
    <row r="72" spans="1:3" x14ac:dyDescent="0.3">
      <c r="A72">
        <v>90</v>
      </c>
      <c r="B72" s="7">
        <f>(A72*16.85) - break_even_analysis!$L$18</f>
        <v>-302.70731707317032</v>
      </c>
      <c r="C72" s="7">
        <f t="shared" si="1"/>
        <v>-12410.999999999984</v>
      </c>
    </row>
    <row r="73" spans="1:3" x14ac:dyDescent="0.3">
      <c r="A73">
        <v>91</v>
      </c>
      <c r="B73" s="7">
        <f>(A73*16.85) - break_even_analysis!$L$18</f>
        <v>-285.85731707317041</v>
      </c>
      <c r="C73" s="7">
        <f t="shared" si="1"/>
        <v>-11720.149999999987</v>
      </c>
    </row>
    <row r="74" spans="1:3" x14ac:dyDescent="0.3">
      <c r="A74">
        <v>92</v>
      </c>
      <c r="B74" s="7">
        <f>(A74*16.85) - break_even_analysis!$L$18</f>
        <v>-269.0073170731705</v>
      </c>
      <c r="C74" s="7">
        <f t="shared" si="1"/>
        <v>-11029.29999999999</v>
      </c>
    </row>
    <row r="75" spans="1:3" x14ac:dyDescent="0.3">
      <c r="A75">
        <v>93</v>
      </c>
      <c r="B75" s="7">
        <f>(A75*16.85) - break_even_analysis!$L$18</f>
        <v>-252.15731707317036</v>
      </c>
      <c r="C75" s="7">
        <f t="shared" si="1"/>
        <v>-10338.449999999984</v>
      </c>
    </row>
    <row r="76" spans="1:3" x14ac:dyDescent="0.3">
      <c r="A76">
        <v>94</v>
      </c>
      <c r="B76" s="7">
        <f>(A76*16.85) - break_even_analysis!$L$18</f>
        <v>-235.30731707317045</v>
      </c>
      <c r="C76" s="7">
        <f t="shared" si="1"/>
        <v>-9647.5999999999876</v>
      </c>
    </row>
    <row r="77" spans="1:3" x14ac:dyDescent="0.3">
      <c r="A77">
        <v>95</v>
      </c>
      <c r="B77" s="7">
        <f>(A77*16.85) - break_even_analysis!$L$18</f>
        <v>-218.45731707317032</v>
      </c>
      <c r="C77" s="7">
        <f t="shared" si="1"/>
        <v>-8956.7499999999836</v>
      </c>
    </row>
    <row r="78" spans="1:3" x14ac:dyDescent="0.3">
      <c r="A78">
        <v>96</v>
      </c>
      <c r="B78" s="7">
        <f>(A78*16.85) - break_even_analysis!$L$18</f>
        <v>-201.60731707317041</v>
      </c>
      <c r="C78" s="7">
        <f t="shared" si="1"/>
        <v>-8265.8999999999869</v>
      </c>
    </row>
    <row r="79" spans="1:3" x14ac:dyDescent="0.3">
      <c r="A79">
        <v>97</v>
      </c>
      <c r="B79" s="7">
        <f>(A79*16.85) - break_even_analysis!$L$18</f>
        <v>-184.7573170731705</v>
      </c>
      <c r="C79" s="7">
        <f t="shared" si="1"/>
        <v>-7575.0499999999902</v>
      </c>
    </row>
    <row r="80" spans="1:3" x14ac:dyDescent="0.3">
      <c r="A80">
        <v>98</v>
      </c>
      <c r="B80" s="7">
        <f>(A80*16.85) - break_even_analysis!$L$18</f>
        <v>-167.90731707317036</v>
      </c>
      <c r="C80" s="7">
        <f t="shared" si="1"/>
        <v>-6884.1999999999844</v>
      </c>
    </row>
    <row r="81" spans="1:3" x14ac:dyDescent="0.3">
      <c r="A81">
        <v>99</v>
      </c>
      <c r="B81" s="7">
        <f>(A81*16.85) - break_even_analysis!$L$18</f>
        <v>-151.05731707317045</v>
      </c>
      <c r="C81" s="7">
        <f t="shared" si="1"/>
        <v>-6193.3499999999885</v>
      </c>
    </row>
    <row r="82" spans="1:3" x14ac:dyDescent="0.3">
      <c r="A82">
        <v>100</v>
      </c>
      <c r="B82" s="7">
        <f>(A82*16.85) - break_even_analysis!$L$18</f>
        <v>-134.20731707317032</v>
      </c>
      <c r="C82" s="7">
        <f t="shared" si="1"/>
        <v>-5502.4999999999827</v>
      </c>
    </row>
    <row r="83" spans="1:3" x14ac:dyDescent="0.3">
      <c r="A83">
        <v>101</v>
      </c>
      <c r="B83" s="7">
        <f>(A83*16.85) - break_even_analysis!$L$18</f>
        <v>-117.35731707317041</v>
      </c>
      <c r="C83" s="7">
        <f t="shared" si="1"/>
        <v>-4811.6499999999869</v>
      </c>
    </row>
    <row r="84" spans="1:3" x14ac:dyDescent="0.3">
      <c r="A84">
        <v>102</v>
      </c>
      <c r="B84" s="7">
        <f>(A84*16.85) - break_even_analysis!$L$18</f>
        <v>-100.5073170731705</v>
      </c>
      <c r="C84" s="7">
        <f t="shared" si="1"/>
        <v>-4120.7999999999902</v>
      </c>
    </row>
    <row r="85" spans="1:3" x14ac:dyDescent="0.3">
      <c r="A85">
        <v>103</v>
      </c>
      <c r="B85" s="7">
        <f>(A85*16.85) - break_even_analysis!$L$18</f>
        <v>-83.657317073170361</v>
      </c>
      <c r="C85" s="7">
        <f t="shared" si="1"/>
        <v>-3429.9499999999848</v>
      </c>
    </row>
    <row r="86" spans="1:3" x14ac:dyDescent="0.3">
      <c r="A86">
        <v>104</v>
      </c>
      <c r="B86" s="7">
        <f>(A86*16.85) - break_even_analysis!$L$18</f>
        <v>-66.807317073170452</v>
      </c>
      <c r="C86" s="7">
        <f t="shared" si="1"/>
        <v>-2739.0999999999885</v>
      </c>
    </row>
    <row r="87" spans="1:3" x14ac:dyDescent="0.3">
      <c r="A87">
        <v>105</v>
      </c>
      <c r="B87" s="7">
        <f>(A87*16.85) - break_even_analysis!$L$18</f>
        <v>-49.957317073170316</v>
      </c>
      <c r="C87" s="7">
        <f t="shared" si="1"/>
        <v>-2048.2499999999827</v>
      </c>
    </row>
    <row r="88" spans="1:3" x14ac:dyDescent="0.3">
      <c r="A88">
        <v>106</v>
      </c>
      <c r="B88" s="7">
        <f>(A88*16.85) - break_even_analysis!$L$18</f>
        <v>-33.107317073170407</v>
      </c>
      <c r="C88" s="7">
        <f t="shared" si="1"/>
        <v>-1357.3999999999867</v>
      </c>
    </row>
    <row r="89" spans="1:3" x14ac:dyDescent="0.3">
      <c r="A89">
        <v>107</v>
      </c>
      <c r="B89" s="7">
        <f>(A89*16.85) - break_even_analysis!$L$18</f>
        <v>-16.257317073170498</v>
      </c>
      <c r="C89" s="7">
        <f t="shared" si="1"/>
        <v>-666.5499999999904</v>
      </c>
    </row>
    <row r="90" spans="1:3" x14ac:dyDescent="0.3">
      <c r="A90">
        <v>108</v>
      </c>
      <c r="B90" s="7">
        <f>(A90*16.85) - break_even_analysis!$L$18</f>
        <v>0.59268292682963875</v>
      </c>
      <c r="C90" s="7">
        <f t="shared" si="1"/>
        <v>24.300000000015189</v>
      </c>
    </row>
    <row r="91" spans="1:3" x14ac:dyDescent="0.3">
      <c r="A91">
        <v>109</v>
      </c>
      <c r="B91" s="7">
        <f>(A91*16.85) - break_even_analysis!$L$18</f>
        <v>17.442682926829548</v>
      </c>
      <c r="C91" s="7">
        <f t="shared" si="1"/>
        <v>715.15000000001146</v>
      </c>
    </row>
    <row r="92" spans="1:3" x14ac:dyDescent="0.3">
      <c r="A92">
        <v>110</v>
      </c>
      <c r="B92" s="7">
        <f>(A92*16.85) - break_even_analysis!$L$18</f>
        <v>34.292682926829684</v>
      </c>
      <c r="C92" s="7">
        <f t="shared" si="1"/>
        <v>1406.0000000000171</v>
      </c>
    </row>
    <row r="93" spans="1:3" x14ac:dyDescent="0.3">
      <c r="A93">
        <v>111</v>
      </c>
      <c r="B93" s="7">
        <f>(A93*16.85) - break_even_analysis!$L$18</f>
        <v>51.142682926829593</v>
      </c>
      <c r="C93" s="7">
        <f t="shared" si="1"/>
        <v>2096.8500000000131</v>
      </c>
    </row>
    <row r="94" spans="1:3" x14ac:dyDescent="0.3">
      <c r="A94">
        <v>112</v>
      </c>
      <c r="B94" s="7">
        <f>(A94*16.85) - break_even_analysis!$L$18</f>
        <v>67.99268292682973</v>
      </c>
      <c r="C94" s="7">
        <f t="shared" si="1"/>
        <v>2787.7000000000189</v>
      </c>
    </row>
    <row r="95" spans="1:3" x14ac:dyDescent="0.3">
      <c r="A95">
        <v>113</v>
      </c>
      <c r="B95" s="7">
        <f>(A95*16.85) - break_even_analysis!$L$18</f>
        <v>84.842682926829639</v>
      </c>
      <c r="C95" s="7">
        <f t="shared" si="1"/>
        <v>3478.5500000000152</v>
      </c>
    </row>
    <row r="96" spans="1:3" x14ac:dyDescent="0.3">
      <c r="A96">
        <v>114</v>
      </c>
      <c r="B96" s="7">
        <f>(A96*16.85) - break_even_analysis!$L$18</f>
        <v>101.69268292682955</v>
      </c>
      <c r="C96" s="7">
        <f t="shared" si="1"/>
        <v>4169.4000000000115</v>
      </c>
    </row>
    <row r="97" spans="1:3" x14ac:dyDescent="0.3">
      <c r="A97">
        <v>115</v>
      </c>
      <c r="B97" s="7">
        <f>(A97*16.85) - break_even_analysis!$L$18</f>
        <v>118.54268292682968</v>
      </c>
      <c r="C97" s="7">
        <f t="shared" si="1"/>
        <v>4860.2500000000173</v>
      </c>
    </row>
    <row r="98" spans="1:3" x14ac:dyDescent="0.3">
      <c r="A98">
        <v>116</v>
      </c>
      <c r="B98" s="7">
        <f>(A98*16.85) - break_even_analysis!$L$18</f>
        <v>135.39268292682959</v>
      </c>
      <c r="C98" s="7">
        <f t="shared" si="1"/>
        <v>5551.1000000000131</v>
      </c>
    </row>
    <row r="99" spans="1:3" x14ac:dyDescent="0.3">
      <c r="A99">
        <v>117</v>
      </c>
      <c r="B99" s="7">
        <f>(A99*16.85) - break_even_analysis!$L$18</f>
        <v>152.24268292682973</v>
      </c>
      <c r="C99" s="7">
        <f t="shared" si="1"/>
        <v>6241.9500000000189</v>
      </c>
    </row>
    <row r="100" spans="1:3" x14ac:dyDescent="0.3">
      <c r="A100">
        <v>118</v>
      </c>
      <c r="B100" s="7">
        <f>(A100*16.85) - break_even_analysis!$L$18</f>
        <v>169.09268292682964</v>
      </c>
      <c r="C100" s="7">
        <f t="shared" si="1"/>
        <v>6932.8000000000156</v>
      </c>
    </row>
    <row r="101" spans="1:3" x14ac:dyDescent="0.3">
      <c r="A101">
        <v>119</v>
      </c>
      <c r="B101" s="7">
        <f>(A101*16.85) - break_even_analysis!$L$18</f>
        <v>185.94268292682955</v>
      </c>
      <c r="C101" s="7">
        <f t="shared" si="1"/>
        <v>7623.6500000000115</v>
      </c>
    </row>
    <row r="102" spans="1:3" x14ac:dyDescent="0.3">
      <c r="A102">
        <v>120</v>
      </c>
      <c r="B102" s="7">
        <f>(A102*16.85) - break_even_analysis!$L$18</f>
        <v>202.79268292682968</v>
      </c>
      <c r="C102" s="7">
        <f t="shared" si="1"/>
        <v>8314.5000000000164</v>
      </c>
    </row>
    <row r="103" spans="1:3" x14ac:dyDescent="0.3">
      <c r="A103">
        <v>121</v>
      </c>
      <c r="B103" s="7">
        <f>(A103*16.85) - break_even_analysis!$L$18</f>
        <v>219.64268292682959</v>
      </c>
      <c r="C103" s="7">
        <f t="shared" si="1"/>
        <v>9005.3500000000131</v>
      </c>
    </row>
    <row r="104" spans="1:3" x14ac:dyDescent="0.3">
      <c r="A104">
        <v>122</v>
      </c>
      <c r="B104" s="7">
        <f>(A104*16.85) - break_even_analysis!$L$18</f>
        <v>236.49268292682973</v>
      </c>
      <c r="C104" s="7">
        <f t="shared" si="1"/>
        <v>9696.2000000000189</v>
      </c>
    </row>
    <row r="105" spans="1:3" x14ac:dyDescent="0.3">
      <c r="A105">
        <v>123</v>
      </c>
      <c r="B105" s="7">
        <f>(A105*16.85) - break_even_analysis!$L$18</f>
        <v>253.34268292682964</v>
      </c>
      <c r="C105" s="7">
        <f t="shared" si="1"/>
        <v>10387.050000000016</v>
      </c>
    </row>
    <row r="106" spans="1:3" x14ac:dyDescent="0.3">
      <c r="A106">
        <v>124</v>
      </c>
      <c r="B106" s="7">
        <f>(A106*16.85) - break_even_analysis!$L$18</f>
        <v>270.19268292682955</v>
      </c>
      <c r="C106" s="7">
        <f t="shared" si="1"/>
        <v>11077.900000000012</v>
      </c>
    </row>
    <row r="107" spans="1:3" x14ac:dyDescent="0.3">
      <c r="A107">
        <v>125</v>
      </c>
      <c r="B107" s="7">
        <f>(A107*16.85) - break_even_analysis!$L$18</f>
        <v>287.04268292682946</v>
      </c>
      <c r="C107" s="7">
        <f t="shared" si="1"/>
        <v>11768.750000000007</v>
      </c>
    </row>
    <row r="108" spans="1:3" x14ac:dyDescent="0.3">
      <c r="A108">
        <v>126</v>
      </c>
      <c r="B108" s="7">
        <f>(A108*16.85) - break_even_analysis!$L$18</f>
        <v>303.89268292682982</v>
      </c>
      <c r="C108" s="7">
        <f t="shared" si="1"/>
        <v>12459.600000000022</v>
      </c>
    </row>
    <row r="109" spans="1:3" x14ac:dyDescent="0.3">
      <c r="A109">
        <v>127</v>
      </c>
      <c r="B109" s="7">
        <f>(A109*16.85) - break_even_analysis!$L$18</f>
        <v>320.74268292682973</v>
      </c>
      <c r="C109" s="7">
        <f t="shared" si="1"/>
        <v>13150.450000000019</v>
      </c>
    </row>
    <row r="110" spans="1:3" x14ac:dyDescent="0.3">
      <c r="A110">
        <v>128</v>
      </c>
      <c r="B110" s="7">
        <f>(A110*16.85) - break_even_analysis!$L$18</f>
        <v>337.59268292682964</v>
      </c>
      <c r="C110" s="7">
        <f t="shared" si="1"/>
        <v>13841.300000000016</v>
      </c>
    </row>
    <row r="111" spans="1:3" x14ac:dyDescent="0.3">
      <c r="A111">
        <v>129</v>
      </c>
      <c r="B111" s="7">
        <f>(A111*16.85) - break_even_analysis!$L$18</f>
        <v>354.44268292682955</v>
      </c>
      <c r="C111" s="7">
        <f t="shared" si="1"/>
        <v>14532.150000000012</v>
      </c>
    </row>
    <row r="112" spans="1:3" x14ac:dyDescent="0.3">
      <c r="A112">
        <v>130</v>
      </c>
      <c r="B112" s="7">
        <f>(A112*16.85) - break_even_analysis!$L$18</f>
        <v>371.29268292682946</v>
      </c>
      <c r="C112" s="7">
        <f t="shared" si="1"/>
        <v>15223.000000000007</v>
      </c>
    </row>
    <row r="113" spans="1:3" x14ac:dyDescent="0.3">
      <c r="A113">
        <v>131</v>
      </c>
      <c r="B113" s="7">
        <f>(A113*16.85) - break_even_analysis!$L$18</f>
        <v>388.14268292682982</v>
      </c>
      <c r="C113" s="7">
        <f t="shared" si="1"/>
        <v>15913.850000000022</v>
      </c>
    </row>
    <row r="114" spans="1:3" x14ac:dyDescent="0.3">
      <c r="A114">
        <v>132</v>
      </c>
      <c r="B114" s="7">
        <f>(A114*16.85) - break_even_analysis!$L$18</f>
        <v>404.99268292682973</v>
      </c>
      <c r="C114" s="7">
        <f t="shared" si="1"/>
        <v>16604.700000000019</v>
      </c>
    </row>
    <row r="115" spans="1:3" x14ac:dyDescent="0.3">
      <c r="A115">
        <v>133</v>
      </c>
      <c r="B115" s="7">
        <f>(A115*16.85) - break_even_analysis!$L$18</f>
        <v>421.84268292682964</v>
      </c>
      <c r="C115" s="7">
        <f t="shared" si="1"/>
        <v>17295.550000000014</v>
      </c>
    </row>
    <row r="116" spans="1:3" x14ac:dyDescent="0.3">
      <c r="A116">
        <v>134</v>
      </c>
      <c r="B116" s="7">
        <f>(A116*16.85) - break_even_analysis!$L$18</f>
        <v>438.69268292682955</v>
      </c>
      <c r="C116" s="7">
        <f t="shared" si="1"/>
        <v>17986.400000000012</v>
      </c>
    </row>
    <row r="117" spans="1:3" x14ac:dyDescent="0.3">
      <c r="A117">
        <v>135</v>
      </c>
      <c r="B117" s="7">
        <f>(A117*16.85) - break_even_analysis!$L$18</f>
        <v>455.54268292682946</v>
      </c>
      <c r="C117" s="7">
        <f t="shared" si="1"/>
        <v>18677.250000000007</v>
      </c>
    </row>
    <row r="118" spans="1:3" x14ac:dyDescent="0.3">
      <c r="A118">
        <v>136</v>
      </c>
      <c r="B118" s="7">
        <f>(A118*16.85) - break_even_analysis!$L$18</f>
        <v>472.39268292682982</v>
      </c>
      <c r="C118" s="7">
        <f t="shared" si="1"/>
        <v>19368.100000000024</v>
      </c>
    </row>
    <row r="119" spans="1:3" x14ac:dyDescent="0.3">
      <c r="A119">
        <v>137</v>
      </c>
      <c r="B119" s="7">
        <f>(A119*16.85) - break_even_analysis!$L$18</f>
        <v>489.24268292682973</v>
      </c>
      <c r="C119" s="7">
        <f t="shared" si="1"/>
        <v>20058.950000000019</v>
      </c>
    </row>
    <row r="120" spans="1:3" x14ac:dyDescent="0.3">
      <c r="A120">
        <v>138</v>
      </c>
      <c r="B120" s="7">
        <f>(A120*16.85) - break_even_analysis!$L$18</f>
        <v>506.09268292682964</v>
      </c>
      <c r="C120" s="7">
        <f t="shared" si="1"/>
        <v>20749.800000000014</v>
      </c>
    </row>
    <row r="121" spans="1:3" x14ac:dyDescent="0.3">
      <c r="A121">
        <v>139</v>
      </c>
      <c r="B121" s="7">
        <f>(A121*16.85) - break_even_analysis!$L$18</f>
        <v>522.94268292682955</v>
      </c>
      <c r="C121" s="7">
        <f t="shared" si="1"/>
        <v>21440.650000000012</v>
      </c>
    </row>
    <row r="122" spans="1:3" x14ac:dyDescent="0.3">
      <c r="A122">
        <v>140</v>
      </c>
      <c r="B122" s="7">
        <f>(A122*16.85) - break_even_analysis!$L$18</f>
        <v>539.79268292682946</v>
      </c>
      <c r="C122" s="7">
        <f t="shared" si="1"/>
        <v>22131.500000000007</v>
      </c>
    </row>
    <row r="123" spans="1:3" x14ac:dyDescent="0.3">
      <c r="A123">
        <v>141</v>
      </c>
      <c r="B123" s="7">
        <f>(A123*16.85) - break_even_analysis!$L$18</f>
        <v>556.64268292682982</v>
      </c>
      <c r="C123" s="7">
        <f t="shared" si="1"/>
        <v>22822.350000000024</v>
      </c>
    </row>
    <row r="124" spans="1:3" x14ac:dyDescent="0.3">
      <c r="A124">
        <v>142</v>
      </c>
      <c r="B124" s="7">
        <f>(A124*16.85) - break_even_analysis!$L$18</f>
        <v>573.49268292682973</v>
      </c>
      <c r="C124" s="7">
        <f t="shared" si="1"/>
        <v>23513.200000000019</v>
      </c>
    </row>
    <row r="125" spans="1:3" x14ac:dyDescent="0.3">
      <c r="A125">
        <v>143</v>
      </c>
      <c r="B125" s="7">
        <f>(A125*16.85) - break_even_analysis!$L$18</f>
        <v>590.34268292682964</v>
      </c>
      <c r="C125" s="7">
        <f t="shared" si="1"/>
        <v>24204.050000000014</v>
      </c>
    </row>
    <row r="126" spans="1:3" x14ac:dyDescent="0.3">
      <c r="A126">
        <v>144</v>
      </c>
      <c r="B126" s="7">
        <f>(A126*16.85) - break_even_analysis!$L$18</f>
        <v>607.19268292682955</v>
      </c>
      <c r="C126" s="7">
        <f t="shared" si="1"/>
        <v>24894.900000000012</v>
      </c>
    </row>
    <row r="127" spans="1:3" x14ac:dyDescent="0.3">
      <c r="A127">
        <v>145</v>
      </c>
      <c r="B127" s="7">
        <f>(A127*16.85) - break_even_analysis!$L$18</f>
        <v>624.04268292682946</v>
      </c>
      <c r="C127" s="7">
        <f t="shared" si="1"/>
        <v>25585.750000000007</v>
      </c>
    </row>
    <row r="128" spans="1:3" x14ac:dyDescent="0.3">
      <c r="A128">
        <v>146</v>
      </c>
      <c r="B128" s="7">
        <f>(A128*16.85) - break_even_analysis!$L$18</f>
        <v>640.89268292682982</v>
      </c>
      <c r="C128" s="7">
        <f t="shared" si="1"/>
        <v>26276.600000000024</v>
      </c>
    </row>
    <row r="129" spans="1:3" x14ac:dyDescent="0.3">
      <c r="A129">
        <v>147</v>
      </c>
      <c r="B129" s="7">
        <f>(A129*16.85) - break_even_analysis!$L$18</f>
        <v>657.74268292682973</v>
      </c>
      <c r="C129" s="7">
        <f t="shared" si="1"/>
        <v>26967.450000000019</v>
      </c>
    </row>
    <row r="130" spans="1:3" x14ac:dyDescent="0.3">
      <c r="A130">
        <v>148</v>
      </c>
      <c r="B130" s="7">
        <f>(A130*16.85) - break_even_analysis!$L$18</f>
        <v>674.59268292682964</v>
      </c>
      <c r="C130" s="7">
        <f t="shared" si="1"/>
        <v>27658.300000000014</v>
      </c>
    </row>
    <row r="131" spans="1:3" x14ac:dyDescent="0.3">
      <c r="A131">
        <v>149</v>
      </c>
      <c r="B131" s="7">
        <f>(A131*16.85) - break_even_analysis!$L$18</f>
        <v>691.44268292682955</v>
      </c>
      <c r="C131" s="7">
        <f t="shared" ref="C131:C194" si="2">B131*41</f>
        <v>28349.150000000012</v>
      </c>
    </row>
    <row r="132" spans="1:3" x14ac:dyDescent="0.3">
      <c r="A132">
        <v>150</v>
      </c>
      <c r="B132" s="7">
        <f>(A132*16.85) - break_even_analysis!$L$18</f>
        <v>708.29268292682946</v>
      </c>
      <c r="C132" s="7">
        <f t="shared" si="2"/>
        <v>29040.000000000007</v>
      </c>
    </row>
    <row r="133" spans="1:3" x14ac:dyDescent="0.3">
      <c r="A133">
        <v>151</v>
      </c>
      <c r="B133" s="7">
        <f>(A133*16.85) - break_even_analysis!$L$18</f>
        <v>725.14268292682982</v>
      </c>
      <c r="C133" s="7">
        <f t="shared" si="2"/>
        <v>29730.850000000024</v>
      </c>
    </row>
    <row r="134" spans="1:3" x14ac:dyDescent="0.3">
      <c r="A134">
        <v>152</v>
      </c>
      <c r="B134" s="7">
        <f>(A134*16.85) - break_even_analysis!$L$18</f>
        <v>741.99268292682973</v>
      </c>
      <c r="C134" s="7">
        <f t="shared" si="2"/>
        <v>30421.700000000019</v>
      </c>
    </row>
    <row r="135" spans="1:3" x14ac:dyDescent="0.3">
      <c r="A135">
        <v>153</v>
      </c>
      <c r="B135" s="7">
        <f>(A135*16.85) - break_even_analysis!$L$18</f>
        <v>758.84268292682964</v>
      </c>
      <c r="C135" s="7">
        <f t="shared" si="2"/>
        <v>31112.550000000014</v>
      </c>
    </row>
    <row r="136" spans="1:3" x14ac:dyDescent="0.3">
      <c r="A136">
        <v>154</v>
      </c>
      <c r="B136" s="7">
        <f>(A136*16.85) - break_even_analysis!$L$18</f>
        <v>775.69268292682955</v>
      </c>
      <c r="C136" s="7">
        <f t="shared" si="2"/>
        <v>31803.400000000012</v>
      </c>
    </row>
    <row r="137" spans="1:3" x14ac:dyDescent="0.3">
      <c r="A137">
        <v>155</v>
      </c>
      <c r="B137" s="7">
        <f>(A137*16.85) - break_even_analysis!$L$18</f>
        <v>792.54268292682946</v>
      </c>
      <c r="C137" s="7">
        <f t="shared" si="2"/>
        <v>32494.250000000007</v>
      </c>
    </row>
    <row r="138" spans="1:3" x14ac:dyDescent="0.3">
      <c r="A138">
        <v>156</v>
      </c>
      <c r="B138" s="7">
        <f>(A138*16.85) - break_even_analysis!$L$18</f>
        <v>809.39268292682982</v>
      </c>
      <c r="C138" s="7">
        <f t="shared" si="2"/>
        <v>33185.10000000002</v>
      </c>
    </row>
    <row r="139" spans="1:3" x14ac:dyDescent="0.3">
      <c r="A139">
        <v>157</v>
      </c>
      <c r="B139" s="7">
        <f>(A139*16.85) - break_even_analysis!$L$18</f>
        <v>826.24268292682973</v>
      </c>
      <c r="C139" s="7">
        <f t="shared" si="2"/>
        <v>33875.950000000019</v>
      </c>
    </row>
    <row r="140" spans="1:3" x14ac:dyDescent="0.3">
      <c r="A140">
        <v>158</v>
      </c>
      <c r="B140" s="7">
        <f>(A140*16.85) - break_even_analysis!$L$18</f>
        <v>843.09268292682964</v>
      </c>
      <c r="C140" s="7">
        <f t="shared" si="2"/>
        <v>34566.800000000017</v>
      </c>
    </row>
    <row r="141" spans="1:3" x14ac:dyDescent="0.3">
      <c r="A141">
        <v>159</v>
      </c>
      <c r="B141" s="7">
        <f>(A141*16.85) - break_even_analysis!$L$18</f>
        <v>859.94268292682955</v>
      </c>
      <c r="C141" s="7">
        <f t="shared" si="2"/>
        <v>35257.650000000009</v>
      </c>
    </row>
    <row r="142" spans="1:3" x14ac:dyDescent="0.3">
      <c r="A142">
        <v>160</v>
      </c>
      <c r="B142" s="7">
        <f>(A142*16.85) - break_even_analysis!$L$18</f>
        <v>876.79268292682946</v>
      </c>
      <c r="C142" s="7">
        <f t="shared" si="2"/>
        <v>35948.500000000007</v>
      </c>
    </row>
    <row r="143" spans="1:3" x14ac:dyDescent="0.3">
      <c r="A143">
        <v>161</v>
      </c>
      <c r="B143" s="7">
        <f>(A143*16.85) - break_even_analysis!$L$18</f>
        <v>893.64268292682982</v>
      </c>
      <c r="C143" s="7">
        <f t="shared" si="2"/>
        <v>36639.35000000002</v>
      </c>
    </row>
    <row r="144" spans="1:3" x14ac:dyDescent="0.3">
      <c r="A144">
        <v>162</v>
      </c>
      <c r="B144" s="7">
        <f>(A144*16.85) - break_even_analysis!$L$18</f>
        <v>910.49268292682973</v>
      </c>
      <c r="C144" s="7">
        <f t="shared" si="2"/>
        <v>37330.200000000019</v>
      </c>
    </row>
    <row r="145" spans="1:3" x14ac:dyDescent="0.3">
      <c r="A145">
        <v>163</v>
      </c>
      <c r="B145" s="7">
        <f>(A145*16.85) - break_even_analysis!$L$18</f>
        <v>927.34268292682964</v>
      </c>
      <c r="C145" s="7">
        <f t="shared" si="2"/>
        <v>38021.050000000017</v>
      </c>
    </row>
    <row r="146" spans="1:3" x14ac:dyDescent="0.3">
      <c r="A146">
        <v>164</v>
      </c>
      <c r="B146" s="7">
        <f>(A146*16.85) - break_even_analysis!$L$18</f>
        <v>944.19268292682955</v>
      </c>
      <c r="C146" s="7">
        <f t="shared" si="2"/>
        <v>38711.900000000009</v>
      </c>
    </row>
    <row r="147" spans="1:3" x14ac:dyDescent="0.3">
      <c r="A147">
        <v>165</v>
      </c>
      <c r="B147" s="7">
        <f>(A147*16.85) - break_even_analysis!$L$18</f>
        <v>961.04268292682991</v>
      </c>
      <c r="C147" s="7">
        <f t="shared" si="2"/>
        <v>39402.750000000029</v>
      </c>
    </row>
    <row r="148" spans="1:3" x14ac:dyDescent="0.3">
      <c r="A148">
        <v>166</v>
      </c>
      <c r="B148" s="7">
        <f>(A148*16.85) - break_even_analysis!$L$18</f>
        <v>977.89268292682982</v>
      </c>
      <c r="C148" s="7">
        <f t="shared" si="2"/>
        <v>40093.60000000002</v>
      </c>
    </row>
    <row r="149" spans="1:3" x14ac:dyDescent="0.3">
      <c r="A149">
        <v>167</v>
      </c>
      <c r="B149" s="7">
        <f>(A149*16.85) - break_even_analysis!$L$18</f>
        <v>994.74268292682973</v>
      </c>
      <c r="C149" s="7">
        <f t="shared" si="2"/>
        <v>40784.450000000019</v>
      </c>
    </row>
    <row r="150" spans="1:3" x14ac:dyDescent="0.3">
      <c r="A150">
        <v>168</v>
      </c>
      <c r="B150" s="7">
        <f>(A150*16.85) - break_even_analysis!$L$18</f>
        <v>1011.5926829268296</v>
      </c>
      <c r="C150" s="7">
        <f t="shared" si="2"/>
        <v>41475.300000000017</v>
      </c>
    </row>
    <row r="151" spans="1:3" x14ac:dyDescent="0.3">
      <c r="A151">
        <v>169</v>
      </c>
      <c r="B151" s="7">
        <f>(A151*16.85) - break_even_analysis!$L$18</f>
        <v>1028.4426829268295</v>
      </c>
      <c r="C151" s="7">
        <f t="shared" si="2"/>
        <v>42166.150000000009</v>
      </c>
    </row>
    <row r="152" spans="1:3" x14ac:dyDescent="0.3">
      <c r="A152">
        <v>170</v>
      </c>
      <c r="B152" s="7">
        <f>(A152*16.85) - break_even_analysis!$L$18</f>
        <v>1045.2926829268299</v>
      </c>
      <c r="C152" s="7">
        <f t="shared" si="2"/>
        <v>42857.000000000029</v>
      </c>
    </row>
    <row r="153" spans="1:3" x14ac:dyDescent="0.3">
      <c r="A153">
        <v>171</v>
      </c>
      <c r="B153" s="7">
        <f>(A153*16.85) - break_even_analysis!$L$18</f>
        <v>1062.1426829268298</v>
      </c>
      <c r="C153" s="7">
        <f t="shared" si="2"/>
        <v>43547.85000000002</v>
      </c>
    </row>
    <row r="154" spans="1:3" x14ac:dyDescent="0.3">
      <c r="A154">
        <v>172</v>
      </c>
      <c r="B154" s="7">
        <f>(A154*16.85) - break_even_analysis!$L$18</f>
        <v>1078.9926829268297</v>
      </c>
      <c r="C154" s="7">
        <f t="shared" si="2"/>
        <v>44238.700000000019</v>
      </c>
    </row>
    <row r="155" spans="1:3" x14ac:dyDescent="0.3">
      <c r="A155">
        <v>173</v>
      </c>
      <c r="B155" s="7">
        <f>(A155*16.85) - break_even_analysis!$L$18</f>
        <v>1095.8426829268296</v>
      </c>
      <c r="C155" s="7">
        <f t="shared" si="2"/>
        <v>44929.550000000017</v>
      </c>
    </row>
    <row r="156" spans="1:3" x14ac:dyDescent="0.3">
      <c r="A156">
        <v>174</v>
      </c>
      <c r="B156" s="7">
        <f>(A156*16.85) - break_even_analysis!$L$18</f>
        <v>1112.6926829268295</v>
      </c>
      <c r="C156" s="7">
        <f t="shared" si="2"/>
        <v>45620.400000000009</v>
      </c>
    </row>
    <row r="157" spans="1:3" x14ac:dyDescent="0.3">
      <c r="A157">
        <v>175</v>
      </c>
      <c r="B157" s="7">
        <f>(A157*16.85) - break_even_analysis!$L$18</f>
        <v>1129.5426829268299</v>
      </c>
      <c r="C157" s="7">
        <f t="shared" si="2"/>
        <v>46311.250000000029</v>
      </c>
    </row>
    <row r="158" spans="1:3" x14ac:dyDescent="0.3">
      <c r="A158">
        <v>176</v>
      </c>
      <c r="B158" s="7">
        <f>(A158*16.85) - break_even_analysis!$L$18</f>
        <v>1146.3926829268298</v>
      </c>
      <c r="C158" s="7">
        <f t="shared" si="2"/>
        <v>47002.10000000002</v>
      </c>
    </row>
    <row r="159" spans="1:3" x14ac:dyDescent="0.3">
      <c r="A159">
        <v>177</v>
      </c>
      <c r="B159" s="7">
        <f>(A159*16.85) - break_even_analysis!$L$18</f>
        <v>1163.2426829268297</v>
      </c>
      <c r="C159" s="7">
        <f t="shared" si="2"/>
        <v>47692.950000000019</v>
      </c>
    </row>
    <row r="160" spans="1:3" x14ac:dyDescent="0.3">
      <c r="A160">
        <v>178</v>
      </c>
      <c r="B160" s="7">
        <f>(A160*16.85) - break_even_analysis!$L$18</f>
        <v>1180.0926829268296</v>
      </c>
      <c r="C160" s="7">
        <f t="shared" si="2"/>
        <v>48383.800000000017</v>
      </c>
    </row>
    <row r="161" spans="1:3" x14ac:dyDescent="0.3">
      <c r="A161">
        <v>179</v>
      </c>
      <c r="B161" s="7">
        <f>(A161*16.85) - break_even_analysis!$L$18</f>
        <v>1196.9426829268295</v>
      </c>
      <c r="C161" s="7">
        <f t="shared" si="2"/>
        <v>49074.650000000009</v>
      </c>
    </row>
    <row r="162" spans="1:3" x14ac:dyDescent="0.3">
      <c r="A162">
        <v>180</v>
      </c>
      <c r="B162" s="7">
        <f>(A162*16.85) - break_even_analysis!$L$18</f>
        <v>1213.7926829268299</v>
      </c>
      <c r="C162" s="7">
        <f t="shared" si="2"/>
        <v>49765.500000000029</v>
      </c>
    </row>
    <row r="163" spans="1:3" x14ac:dyDescent="0.3">
      <c r="A163">
        <v>181</v>
      </c>
      <c r="B163" s="7">
        <f>(A163*16.85) - break_even_analysis!$L$18</f>
        <v>1230.6426829268298</v>
      </c>
      <c r="C163" s="7">
        <f t="shared" si="2"/>
        <v>50456.35000000002</v>
      </c>
    </row>
    <row r="164" spans="1:3" x14ac:dyDescent="0.3">
      <c r="A164">
        <v>182</v>
      </c>
      <c r="B164" s="7">
        <f>(A164*16.85) - break_even_analysis!$L$18</f>
        <v>1247.4926829268297</v>
      </c>
      <c r="C164" s="7">
        <f t="shared" si="2"/>
        <v>51147.200000000019</v>
      </c>
    </row>
    <row r="165" spans="1:3" x14ac:dyDescent="0.3">
      <c r="A165">
        <v>183</v>
      </c>
      <c r="B165" s="7">
        <f>(A165*16.85) - break_even_analysis!$L$18</f>
        <v>1264.3426829268296</v>
      </c>
      <c r="C165" s="7">
        <f t="shared" si="2"/>
        <v>51838.050000000017</v>
      </c>
    </row>
    <row r="166" spans="1:3" x14ac:dyDescent="0.3">
      <c r="A166">
        <v>184</v>
      </c>
      <c r="B166" s="7">
        <f>(A166*16.85) - break_even_analysis!$L$18</f>
        <v>1281.1926829268295</v>
      </c>
      <c r="C166" s="7">
        <f t="shared" si="2"/>
        <v>52528.900000000009</v>
      </c>
    </row>
    <row r="167" spans="1:3" x14ac:dyDescent="0.3">
      <c r="A167">
        <v>185</v>
      </c>
      <c r="B167" s="7">
        <f>(A167*16.85) - break_even_analysis!$L$18</f>
        <v>1298.0426829268299</v>
      </c>
      <c r="C167" s="7">
        <f t="shared" si="2"/>
        <v>53219.750000000029</v>
      </c>
    </row>
    <row r="168" spans="1:3" x14ac:dyDescent="0.3">
      <c r="A168">
        <v>186</v>
      </c>
      <c r="B168" s="7">
        <f>(A168*16.85) - break_even_analysis!$L$18</f>
        <v>1314.8926829268298</v>
      </c>
      <c r="C168" s="7">
        <f t="shared" si="2"/>
        <v>53910.60000000002</v>
      </c>
    </row>
    <row r="169" spans="1:3" x14ac:dyDescent="0.3">
      <c r="A169">
        <v>187</v>
      </c>
      <c r="B169" s="7">
        <f>(A169*16.85) - break_even_analysis!$L$18</f>
        <v>1331.7426829268297</v>
      </c>
      <c r="C169" s="7">
        <f t="shared" si="2"/>
        <v>54601.450000000019</v>
      </c>
    </row>
    <row r="170" spans="1:3" x14ac:dyDescent="0.3">
      <c r="A170">
        <v>188</v>
      </c>
      <c r="B170" s="7">
        <f>(A170*16.85) - break_even_analysis!$L$18</f>
        <v>1348.5926829268296</v>
      </c>
      <c r="C170" s="7">
        <f t="shared" si="2"/>
        <v>55292.300000000017</v>
      </c>
    </row>
    <row r="171" spans="1:3" x14ac:dyDescent="0.3">
      <c r="A171">
        <v>189</v>
      </c>
      <c r="B171" s="7">
        <f>(A171*16.85) - break_even_analysis!$L$18</f>
        <v>1365.4426829268295</v>
      </c>
      <c r="C171" s="7">
        <f t="shared" si="2"/>
        <v>55983.150000000009</v>
      </c>
    </row>
    <row r="172" spans="1:3" x14ac:dyDescent="0.3">
      <c r="A172">
        <v>190</v>
      </c>
      <c r="B172" s="7">
        <f>(A172*16.85) - break_even_analysis!$L$18</f>
        <v>1382.2926829268299</v>
      </c>
      <c r="C172" s="7">
        <f t="shared" si="2"/>
        <v>56674.000000000029</v>
      </c>
    </row>
    <row r="173" spans="1:3" x14ac:dyDescent="0.3">
      <c r="A173">
        <v>191</v>
      </c>
      <c r="B173" s="7">
        <f>(A173*16.85) - break_even_analysis!$L$18</f>
        <v>1399.1426829268298</v>
      </c>
      <c r="C173" s="7">
        <f t="shared" si="2"/>
        <v>57364.85000000002</v>
      </c>
    </row>
    <row r="174" spans="1:3" x14ac:dyDescent="0.3">
      <c r="A174">
        <v>192</v>
      </c>
      <c r="B174" s="7">
        <f>(A174*16.85) - break_even_analysis!$L$18</f>
        <v>1415.9926829268297</v>
      </c>
      <c r="C174" s="7">
        <f t="shared" si="2"/>
        <v>58055.700000000019</v>
      </c>
    </row>
    <row r="175" spans="1:3" x14ac:dyDescent="0.3">
      <c r="A175">
        <v>193</v>
      </c>
      <c r="B175" s="7">
        <f>(A175*16.85) - break_even_analysis!$L$18</f>
        <v>1432.8426829268296</v>
      </c>
      <c r="C175" s="7">
        <f t="shared" si="2"/>
        <v>58746.550000000017</v>
      </c>
    </row>
    <row r="176" spans="1:3" x14ac:dyDescent="0.3">
      <c r="A176">
        <v>194</v>
      </c>
      <c r="B176" s="7">
        <f>(A176*16.85) - break_even_analysis!$L$18</f>
        <v>1449.6926829268295</v>
      </c>
      <c r="C176" s="7">
        <f t="shared" si="2"/>
        <v>59437.400000000009</v>
      </c>
    </row>
    <row r="177" spans="1:3" x14ac:dyDescent="0.3">
      <c r="A177">
        <v>195</v>
      </c>
      <c r="B177" s="7">
        <f>(A177*16.85) - break_even_analysis!$L$18</f>
        <v>1466.5426829268299</v>
      </c>
      <c r="C177" s="7">
        <f t="shared" si="2"/>
        <v>60128.250000000029</v>
      </c>
    </row>
    <row r="178" spans="1:3" x14ac:dyDescent="0.3">
      <c r="A178">
        <v>196</v>
      </c>
      <c r="B178" s="7">
        <f>(A178*16.85) - break_even_analysis!$L$18</f>
        <v>1483.3926829268298</v>
      </c>
      <c r="C178" s="7">
        <f t="shared" si="2"/>
        <v>60819.10000000002</v>
      </c>
    </row>
    <row r="179" spans="1:3" x14ac:dyDescent="0.3">
      <c r="A179">
        <v>197</v>
      </c>
      <c r="B179" s="7">
        <f>(A179*16.85) - break_even_analysis!$L$18</f>
        <v>1500.2426829268297</v>
      </c>
      <c r="C179" s="7">
        <f t="shared" si="2"/>
        <v>61509.950000000019</v>
      </c>
    </row>
    <row r="180" spans="1:3" x14ac:dyDescent="0.3">
      <c r="A180">
        <v>198</v>
      </c>
      <c r="B180" s="7">
        <f>(A180*16.85) - break_even_analysis!$L$18</f>
        <v>1517.0926829268296</v>
      </c>
      <c r="C180" s="7">
        <f t="shared" si="2"/>
        <v>62200.800000000017</v>
      </c>
    </row>
    <row r="181" spans="1:3" x14ac:dyDescent="0.3">
      <c r="A181">
        <v>199</v>
      </c>
      <c r="B181" s="7">
        <f>(A181*16.85) - break_even_analysis!$L$18</f>
        <v>1533.9426829268295</v>
      </c>
      <c r="C181" s="7">
        <f t="shared" si="2"/>
        <v>62891.650000000009</v>
      </c>
    </row>
    <row r="182" spans="1:3" x14ac:dyDescent="0.3">
      <c r="A182">
        <v>200</v>
      </c>
      <c r="B182" s="7">
        <f>(A182*16.85) - break_even_analysis!$L$18</f>
        <v>1550.7926829268299</v>
      </c>
      <c r="C182" s="7">
        <f t="shared" si="2"/>
        <v>63582.500000000029</v>
      </c>
    </row>
    <row r="183" spans="1:3" x14ac:dyDescent="0.3">
      <c r="A183">
        <v>201</v>
      </c>
      <c r="B183" s="7">
        <f>(A183*16.85) - break_even_analysis!$L$18</f>
        <v>1567.6426829268298</v>
      </c>
      <c r="C183" s="7">
        <f t="shared" si="2"/>
        <v>64273.35000000002</v>
      </c>
    </row>
    <row r="184" spans="1:3" x14ac:dyDescent="0.3">
      <c r="A184">
        <v>202</v>
      </c>
      <c r="B184" s="7">
        <f>(A184*16.85) - break_even_analysis!$L$18</f>
        <v>1584.4926829268297</v>
      </c>
      <c r="C184" s="7">
        <f t="shared" si="2"/>
        <v>64964.200000000019</v>
      </c>
    </row>
    <row r="185" spans="1:3" x14ac:dyDescent="0.3">
      <c r="A185">
        <v>203</v>
      </c>
      <c r="B185" s="7">
        <f>(A185*16.85) - break_even_analysis!$L$18</f>
        <v>1601.3426829268296</v>
      </c>
      <c r="C185" s="7">
        <f t="shared" si="2"/>
        <v>65655.050000000017</v>
      </c>
    </row>
    <row r="186" spans="1:3" x14ac:dyDescent="0.3">
      <c r="A186">
        <v>204</v>
      </c>
      <c r="B186" s="7">
        <f>(A186*16.85) - break_even_analysis!$L$18</f>
        <v>1618.1926829268295</v>
      </c>
      <c r="C186" s="7">
        <f t="shared" si="2"/>
        <v>66345.900000000009</v>
      </c>
    </row>
    <row r="187" spans="1:3" x14ac:dyDescent="0.3">
      <c r="A187">
        <v>205</v>
      </c>
      <c r="B187" s="7">
        <f>(A187*16.85) - break_even_analysis!$L$18</f>
        <v>1635.0426829268299</v>
      </c>
      <c r="C187" s="7">
        <f t="shared" si="2"/>
        <v>67036.750000000029</v>
      </c>
    </row>
    <row r="188" spans="1:3" x14ac:dyDescent="0.3">
      <c r="A188">
        <v>206</v>
      </c>
      <c r="B188" s="7">
        <f>(A188*16.85) - break_even_analysis!$L$18</f>
        <v>1651.8926829268298</v>
      </c>
      <c r="C188" s="7">
        <f t="shared" si="2"/>
        <v>67727.60000000002</v>
      </c>
    </row>
    <row r="189" spans="1:3" x14ac:dyDescent="0.3">
      <c r="A189">
        <v>207</v>
      </c>
      <c r="B189" s="7">
        <f>(A189*16.85) - break_even_analysis!$L$18</f>
        <v>1668.7426829268297</v>
      </c>
      <c r="C189" s="7">
        <f t="shared" si="2"/>
        <v>68418.450000000012</v>
      </c>
    </row>
    <row r="190" spans="1:3" x14ac:dyDescent="0.3">
      <c r="A190">
        <v>208</v>
      </c>
      <c r="B190" s="7">
        <f>(A190*16.85) - break_even_analysis!$L$18</f>
        <v>1685.5926829268296</v>
      </c>
      <c r="C190" s="7">
        <f t="shared" si="2"/>
        <v>69109.300000000017</v>
      </c>
    </row>
    <row r="191" spans="1:3" x14ac:dyDescent="0.3">
      <c r="A191">
        <v>209</v>
      </c>
      <c r="B191" s="7">
        <f>(A191*16.85) - break_even_analysis!$L$18</f>
        <v>1702.4426829268295</v>
      </c>
      <c r="C191" s="7">
        <f t="shared" si="2"/>
        <v>69800.150000000009</v>
      </c>
    </row>
    <row r="192" spans="1:3" x14ac:dyDescent="0.3">
      <c r="A192">
        <v>210</v>
      </c>
      <c r="B192" s="7">
        <f>(A192*16.85) - break_even_analysis!$L$18</f>
        <v>1719.2926829268299</v>
      </c>
      <c r="C192" s="7">
        <f t="shared" si="2"/>
        <v>70491.000000000029</v>
      </c>
    </row>
    <row r="193" spans="1:3" x14ac:dyDescent="0.3">
      <c r="A193">
        <v>211</v>
      </c>
      <c r="B193" s="7">
        <f>(A193*16.85) - break_even_analysis!$L$18</f>
        <v>1736.1426829268298</v>
      </c>
      <c r="C193" s="7">
        <f t="shared" si="2"/>
        <v>71181.85000000002</v>
      </c>
    </row>
    <row r="194" spans="1:3" x14ac:dyDescent="0.3">
      <c r="A194">
        <v>212</v>
      </c>
      <c r="B194" s="7">
        <f>(A194*16.85) - break_even_analysis!$L$18</f>
        <v>1752.9926829268297</v>
      </c>
      <c r="C194" s="7">
        <f t="shared" si="2"/>
        <v>71872.700000000012</v>
      </c>
    </row>
    <row r="195" spans="1:3" x14ac:dyDescent="0.3">
      <c r="A195">
        <v>213</v>
      </c>
      <c r="B195" s="7">
        <f>(A195*16.85) - break_even_analysis!$L$18</f>
        <v>1769.8426829268296</v>
      </c>
      <c r="C195" s="7">
        <f t="shared" ref="C195:C232" si="3">B195*41</f>
        <v>72563.550000000017</v>
      </c>
    </row>
    <row r="196" spans="1:3" x14ac:dyDescent="0.3">
      <c r="A196">
        <v>214</v>
      </c>
      <c r="B196" s="7">
        <f>(A196*16.85) - break_even_analysis!$L$18</f>
        <v>1786.6926829268295</v>
      </c>
      <c r="C196" s="7">
        <f t="shared" si="3"/>
        <v>73254.400000000009</v>
      </c>
    </row>
    <row r="197" spans="1:3" x14ac:dyDescent="0.3">
      <c r="A197">
        <v>215</v>
      </c>
      <c r="B197" s="7">
        <f>(A197*16.85) - break_even_analysis!$L$18</f>
        <v>1803.5426829268299</v>
      </c>
      <c r="C197" s="7">
        <f t="shared" si="3"/>
        <v>73945.250000000029</v>
      </c>
    </row>
    <row r="198" spans="1:3" x14ac:dyDescent="0.3">
      <c r="A198">
        <v>216</v>
      </c>
      <c r="B198" s="7">
        <f>(A198*16.85) - break_even_analysis!$L$18</f>
        <v>1820.3926829268298</v>
      </c>
      <c r="C198" s="7">
        <f t="shared" si="3"/>
        <v>74636.10000000002</v>
      </c>
    </row>
    <row r="199" spans="1:3" x14ac:dyDescent="0.3">
      <c r="A199">
        <v>217</v>
      </c>
      <c r="B199" s="7">
        <f>(A199*16.85) - break_even_analysis!$L$18</f>
        <v>1837.2426829268297</v>
      </c>
      <c r="C199" s="7">
        <f t="shared" si="3"/>
        <v>75326.950000000012</v>
      </c>
    </row>
    <row r="200" spans="1:3" x14ac:dyDescent="0.3">
      <c r="A200">
        <v>218</v>
      </c>
      <c r="B200" s="7">
        <f>(A200*16.85) - break_even_analysis!$L$18</f>
        <v>1854.0926829268296</v>
      </c>
      <c r="C200" s="7">
        <f t="shared" si="3"/>
        <v>76017.800000000017</v>
      </c>
    </row>
    <row r="201" spans="1:3" x14ac:dyDescent="0.3">
      <c r="A201">
        <v>219</v>
      </c>
      <c r="B201" s="7">
        <f>(A201*16.85) - break_even_analysis!$L$18</f>
        <v>1870.9426829268295</v>
      </c>
      <c r="C201" s="7">
        <f t="shared" si="3"/>
        <v>76708.650000000009</v>
      </c>
    </row>
    <row r="202" spans="1:3" x14ac:dyDescent="0.3">
      <c r="A202">
        <v>220</v>
      </c>
      <c r="B202" s="7">
        <f>(A202*16.85) - break_even_analysis!$L$18</f>
        <v>1887.7926829268299</v>
      </c>
      <c r="C202" s="7">
        <f t="shared" si="3"/>
        <v>77399.500000000029</v>
      </c>
    </row>
    <row r="203" spans="1:3" x14ac:dyDescent="0.3">
      <c r="A203">
        <v>221</v>
      </c>
      <c r="B203" s="7">
        <f>(A203*16.85) - break_even_analysis!$L$18</f>
        <v>1904.6426829268298</v>
      </c>
      <c r="C203" s="7">
        <f t="shared" si="3"/>
        <v>78090.35000000002</v>
      </c>
    </row>
    <row r="204" spans="1:3" x14ac:dyDescent="0.3">
      <c r="A204">
        <v>222</v>
      </c>
      <c r="B204" s="7">
        <f>(A204*16.85) - break_even_analysis!$L$18</f>
        <v>1921.4926829268297</v>
      </c>
      <c r="C204" s="7">
        <f t="shared" si="3"/>
        <v>78781.200000000012</v>
      </c>
    </row>
    <row r="205" spans="1:3" x14ac:dyDescent="0.3">
      <c r="A205">
        <v>223</v>
      </c>
      <c r="B205" s="7">
        <f>(A205*16.85) - break_even_analysis!$L$18</f>
        <v>1938.3426829268296</v>
      </c>
      <c r="C205" s="7">
        <f t="shared" si="3"/>
        <v>79472.050000000017</v>
      </c>
    </row>
    <row r="206" spans="1:3" x14ac:dyDescent="0.3">
      <c r="A206">
        <v>224</v>
      </c>
      <c r="B206" s="7">
        <f>(A206*16.85) - break_even_analysis!$L$18</f>
        <v>1955.19268292683</v>
      </c>
      <c r="C206" s="7">
        <f t="shared" si="3"/>
        <v>80162.900000000023</v>
      </c>
    </row>
    <row r="207" spans="1:3" x14ac:dyDescent="0.3">
      <c r="A207">
        <v>225</v>
      </c>
      <c r="B207" s="7">
        <f>(A207*16.85) - break_even_analysis!$L$18</f>
        <v>1972.0426829268299</v>
      </c>
      <c r="C207" s="7">
        <f t="shared" si="3"/>
        <v>80853.750000000029</v>
      </c>
    </row>
    <row r="208" spans="1:3" x14ac:dyDescent="0.3">
      <c r="A208">
        <v>226</v>
      </c>
      <c r="B208" s="7">
        <f>(A208*16.85) - break_even_analysis!$L$18</f>
        <v>1988.8926829268298</v>
      </c>
      <c r="C208" s="7">
        <f t="shared" si="3"/>
        <v>81544.60000000002</v>
      </c>
    </row>
    <row r="209" spans="1:3" x14ac:dyDescent="0.3">
      <c r="A209">
        <v>227</v>
      </c>
      <c r="B209" s="7">
        <f>(A209*16.85) - break_even_analysis!$L$18</f>
        <v>2005.7426829268297</v>
      </c>
      <c r="C209" s="7">
        <f t="shared" si="3"/>
        <v>82235.450000000012</v>
      </c>
    </row>
    <row r="210" spans="1:3" x14ac:dyDescent="0.3">
      <c r="A210">
        <v>228</v>
      </c>
      <c r="B210" s="7">
        <f>(A210*16.85) - break_even_analysis!$L$18</f>
        <v>2022.5926829268296</v>
      </c>
      <c r="C210" s="7">
        <f t="shared" si="3"/>
        <v>82926.300000000017</v>
      </c>
    </row>
    <row r="211" spans="1:3" x14ac:dyDescent="0.3">
      <c r="A211">
        <v>229</v>
      </c>
      <c r="B211" s="7">
        <f>(A211*16.85) - break_even_analysis!$L$18</f>
        <v>2039.44268292683</v>
      </c>
      <c r="C211" s="7">
        <f t="shared" si="3"/>
        <v>83617.150000000023</v>
      </c>
    </row>
    <row r="212" spans="1:3" x14ac:dyDescent="0.3">
      <c r="A212">
        <v>230</v>
      </c>
      <c r="B212" s="7">
        <f>(A212*16.85) - break_even_analysis!$L$18</f>
        <v>2056.2926829268299</v>
      </c>
      <c r="C212" s="7">
        <f t="shared" si="3"/>
        <v>84308.000000000029</v>
      </c>
    </row>
    <row r="213" spans="1:3" x14ac:dyDescent="0.3">
      <c r="A213">
        <v>231</v>
      </c>
      <c r="B213" s="7">
        <f>(A213*16.85) - break_even_analysis!$L$18</f>
        <v>2073.1426829268298</v>
      </c>
      <c r="C213" s="7">
        <f t="shared" si="3"/>
        <v>84998.85000000002</v>
      </c>
    </row>
    <row r="214" spans="1:3" x14ac:dyDescent="0.3">
      <c r="A214">
        <v>232</v>
      </c>
      <c r="B214" s="7">
        <f>(A214*16.85) - break_even_analysis!$L$18</f>
        <v>2089.9926829268297</v>
      </c>
      <c r="C214" s="7">
        <f t="shared" si="3"/>
        <v>85689.700000000012</v>
      </c>
    </row>
    <row r="215" spans="1:3" x14ac:dyDescent="0.3">
      <c r="A215">
        <v>233</v>
      </c>
      <c r="B215" s="7">
        <f>(A215*16.85) - break_even_analysis!$L$18</f>
        <v>2106.8426829268296</v>
      </c>
      <c r="C215" s="7">
        <f t="shared" si="3"/>
        <v>86380.550000000017</v>
      </c>
    </row>
    <row r="216" spans="1:3" x14ac:dyDescent="0.3">
      <c r="A216">
        <v>234</v>
      </c>
      <c r="B216" s="7">
        <f>(A216*16.85) - break_even_analysis!$L$18</f>
        <v>2123.69268292683</v>
      </c>
      <c r="C216" s="7">
        <f t="shared" si="3"/>
        <v>87071.400000000023</v>
      </c>
    </row>
    <row r="217" spans="1:3" x14ac:dyDescent="0.3">
      <c r="A217">
        <v>235</v>
      </c>
      <c r="B217" s="7">
        <f>(A217*16.85) - break_even_analysis!$L$18</f>
        <v>2140.5426829268299</v>
      </c>
      <c r="C217" s="7">
        <f t="shared" si="3"/>
        <v>87762.250000000029</v>
      </c>
    </row>
    <row r="218" spans="1:3" x14ac:dyDescent="0.3">
      <c r="A218">
        <v>236</v>
      </c>
      <c r="B218" s="7">
        <f>(A218*16.85) - break_even_analysis!$L$18</f>
        <v>2157.3926829268298</v>
      </c>
      <c r="C218" s="7">
        <f t="shared" si="3"/>
        <v>88453.10000000002</v>
      </c>
    </row>
    <row r="219" spans="1:3" x14ac:dyDescent="0.3">
      <c r="A219">
        <v>237</v>
      </c>
      <c r="B219" s="7">
        <f>(A219*16.85) - break_even_analysis!$L$18</f>
        <v>2174.2426829268297</v>
      </c>
      <c r="C219" s="7">
        <f t="shared" si="3"/>
        <v>89143.950000000012</v>
      </c>
    </row>
    <row r="220" spans="1:3" x14ac:dyDescent="0.3">
      <c r="A220">
        <v>238</v>
      </c>
      <c r="B220" s="7">
        <f>(A220*16.85) - break_even_analysis!$L$18</f>
        <v>2191.0926829268296</v>
      </c>
      <c r="C220" s="7">
        <f t="shared" si="3"/>
        <v>89834.800000000017</v>
      </c>
    </row>
    <row r="221" spans="1:3" x14ac:dyDescent="0.3">
      <c r="A221">
        <v>239</v>
      </c>
      <c r="B221" s="7">
        <f>(A221*16.85) - break_even_analysis!$L$18</f>
        <v>2207.94268292683</v>
      </c>
      <c r="C221" s="7">
        <f t="shared" si="3"/>
        <v>90525.650000000023</v>
      </c>
    </row>
    <row r="222" spans="1:3" x14ac:dyDescent="0.3">
      <c r="A222">
        <v>240</v>
      </c>
      <c r="B222" s="7">
        <f>(A222*16.85) - break_even_analysis!$L$18</f>
        <v>2224.7926829268299</v>
      </c>
      <c r="C222" s="7">
        <f t="shared" si="3"/>
        <v>91216.500000000029</v>
      </c>
    </row>
    <row r="223" spans="1:3" x14ac:dyDescent="0.3">
      <c r="A223">
        <v>241</v>
      </c>
      <c r="B223" s="7">
        <f>(A223*16.85) - break_even_analysis!$L$18</f>
        <v>2241.6426829268298</v>
      </c>
      <c r="C223" s="7">
        <f t="shared" si="3"/>
        <v>91907.35000000002</v>
      </c>
    </row>
    <row r="224" spans="1:3" x14ac:dyDescent="0.3">
      <c r="A224">
        <v>242</v>
      </c>
      <c r="B224" s="7">
        <f>(A224*16.85) - break_even_analysis!$L$18</f>
        <v>2258.4926829268297</v>
      </c>
      <c r="C224" s="7">
        <f t="shared" si="3"/>
        <v>92598.200000000012</v>
      </c>
    </row>
    <row r="225" spans="1:3" x14ac:dyDescent="0.3">
      <c r="A225">
        <v>243</v>
      </c>
      <c r="B225" s="7">
        <f>(A225*16.85) - break_even_analysis!$L$18</f>
        <v>2275.3426829268296</v>
      </c>
      <c r="C225" s="7">
        <f t="shared" si="3"/>
        <v>93289.050000000017</v>
      </c>
    </row>
    <row r="226" spans="1:3" x14ac:dyDescent="0.3">
      <c r="A226">
        <v>244</v>
      </c>
      <c r="B226" s="7">
        <f>(A226*16.85) - break_even_analysis!$L$18</f>
        <v>2292.19268292683</v>
      </c>
      <c r="C226" s="7">
        <f t="shared" si="3"/>
        <v>93979.900000000023</v>
      </c>
    </row>
    <row r="227" spans="1:3" x14ac:dyDescent="0.3">
      <c r="A227">
        <v>245</v>
      </c>
      <c r="B227" s="7">
        <f>(A227*16.85) - break_even_analysis!$L$18</f>
        <v>2309.0426829268295</v>
      </c>
      <c r="C227" s="7">
        <f t="shared" si="3"/>
        <v>94670.750000000015</v>
      </c>
    </row>
    <row r="228" spans="1:3" x14ac:dyDescent="0.3">
      <c r="A228">
        <v>246</v>
      </c>
      <c r="B228" s="7">
        <f>(A228*16.85) - break_even_analysis!$L$18</f>
        <v>2325.8926829268298</v>
      </c>
      <c r="C228" s="7">
        <f t="shared" si="3"/>
        <v>95361.60000000002</v>
      </c>
    </row>
    <row r="229" spans="1:3" x14ac:dyDescent="0.3">
      <c r="A229">
        <v>247</v>
      </c>
      <c r="B229" s="7">
        <f>(A229*16.85) - break_even_analysis!$L$18</f>
        <v>2342.7426829268302</v>
      </c>
      <c r="C229" s="7">
        <f t="shared" si="3"/>
        <v>96052.450000000041</v>
      </c>
    </row>
    <row r="230" spans="1:3" x14ac:dyDescent="0.3">
      <c r="A230">
        <v>248</v>
      </c>
      <c r="B230" s="7">
        <f>(A230*16.85) - break_even_analysis!$L$18</f>
        <v>2359.5926829268296</v>
      </c>
      <c r="C230" s="7">
        <f t="shared" si="3"/>
        <v>96743.300000000017</v>
      </c>
    </row>
    <row r="231" spans="1:3" x14ac:dyDescent="0.3">
      <c r="A231">
        <v>249</v>
      </c>
      <c r="B231" s="7">
        <f>(A231*16.85) - break_even_analysis!$L$18</f>
        <v>2376.44268292683</v>
      </c>
      <c r="C231" s="7">
        <f t="shared" si="3"/>
        <v>97434.150000000023</v>
      </c>
    </row>
    <row r="232" spans="1:3" x14ac:dyDescent="0.3">
      <c r="A232">
        <v>250</v>
      </c>
      <c r="B232" s="7">
        <f>(A232*16.85) - break_even_analysis!$L$18</f>
        <v>2393.2926829268295</v>
      </c>
      <c r="C232" s="7">
        <f t="shared" si="3"/>
        <v>98125.000000000015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2BC22-3F0B-4265-9A1D-5429624CB9A3}">
  <dimension ref="A1:C232"/>
  <sheetViews>
    <sheetView topLeftCell="A52" workbookViewId="0">
      <selection activeCell="B82" sqref="B82"/>
    </sheetView>
  </sheetViews>
  <sheetFormatPr defaultRowHeight="14.4" x14ac:dyDescent="0.3"/>
  <cols>
    <col min="1" max="1" width="19.5546875" customWidth="1"/>
    <col min="2" max="2" width="19.109375" customWidth="1"/>
    <col min="3" max="3" width="17.21875" customWidth="1"/>
  </cols>
  <sheetData>
    <row r="1" spans="1:3" x14ac:dyDescent="0.3">
      <c r="A1" t="s">
        <v>31</v>
      </c>
      <c r="B1" t="s">
        <v>32</v>
      </c>
      <c r="C1" t="s">
        <v>33</v>
      </c>
    </row>
    <row r="2" spans="1:3" x14ac:dyDescent="0.3">
      <c r="A2">
        <v>20</v>
      </c>
      <c r="B2" s="7">
        <f>(A2*16.85) - break_even_analysis!$L$22</f>
        <v>-1295.8414634146343</v>
      </c>
      <c r="C2" s="7">
        <f>B2*41</f>
        <v>-53129.500000000007</v>
      </c>
    </row>
    <row r="3" spans="1:3" x14ac:dyDescent="0.3">
      <c r="A3">
        <v>21</v>
      </c>
      <c r="B3" s="7">
        <f>(A3*16.85) - break_even_analysis!$L$22</f>
        <v>-1278.9914634146344</v>
      </c>
      <c r="C3" s="7">
        <f t="shared" ref="C3:C66" si="0">B3*41</f>
        <v>-52438.650000000009</v>
      </c>
    </row>
    <row r="4" spans="1:3" x14ac:dyDescent="0.3">
      <c r="A4">
        <v>22</v>
      </c>
      <c r="B4" s="7">
        <f>(A4*16.85) - break_even_analysis!$L$22</f>
        <v>-1262.1414634146342</v>
      </c>
      <c r="C4" s="7">
        <f t="shared" si="0"/>
        <v>-51747.8</v>
      </c>
    </row>
    <row r="5" spans="1:3" x14ac:dyDescent="0.3">
      <c r="A5">
        <v>23</v>
      </c>
      <c r="B5" s="7">
        <f>(A5*16.85) - break_even_analysis!$L$22</f>
        <v>-1245.2914634146343</v>
      </c>
      <c r="C5" s="7">
        <f t="shared" si="0"/>
        <v>-51056.950000000004</v>
      </c>
    </row>
    <row r="6" spans="1:3" x14ac:dyDescent="0.3">
      <c r="A6">
        <v>24</v>
      </c>
      <c r="B6" s="7">
        <f>(A6*16.85) - break_even_analysis!$L$22</f>
        <v>-1228.4414634146342</v>
      </c>
      <c r="C6" s="7">
        <f t="shared" si="0"/>
        <v>-50366.100000000006</v>
      </c>
    </row>
    <row r="7" spans="1:3" x14ac:dyDescent="0.3">
      <c r="A7">
        <v>25</v>
      </c>
      <c r="B7" s="7">
        <f>(A7*16.85) - break_even_analysis!$L$22</f>
        <v>-1211.5914634146343</v>
      </c>
      <c r="C7" s="7">
        <f t="shared" si="0"/>
        <v>-49675.250000000007</v>
      </c>
    </row>
    <row r="8" spans="1:3" x14ac:dyDescent="0.3">
      <c r="A8">
        <v>26</v>
      </c>
      <c r="B8" s="7">
        <f>(A8*16.85) - break_even_analysis!$L$22</f>
        <v>-1194.7414634146344</v>
      </c>
      <c r="C8" s="7">
        <f t="shared" si="0"/>
        <v>-48984.400000000009</v>
      </c>
    </row>
    <row r="9" spans="1:3" x14ac:dyDescent="0.3">
      <c r="A9">
        <v>27</v>
      </c>
      <c r="B9" s="7">
        <f>(A9*16.85) - break_even_analysis!$L$22</f>
        <v>-1177.8914634146342</v>
      </c>
      <c r="C9" s="7">
        <f t="shared" si="0"/>
        <v>-48293.55</v>
      </c>
    </row>
    <row r="10" spans="1:3" x14ac:dyDescent="0.3">
      <c r="A10">
        <v>28</v>
      </c>
      <c r="B10" s="7">
        <f>(A10*16.85) - break_even_analysis!$L$22</f>
        <v>-1161.0414634146341</v>
      </c>
      <c r="C10" s="7">
        <f t="shared" si="0"/>
        <v>-47602.7</v>
      </c>
    </row>
    <row r="11" spans="1:3" x14ac:dyDescent="0.3">
      <c r="A11">
        <v>29</v>
      </c>
      <c r="B11" s="7">
        <f>(A11*16.85) - break_even_analysis!$L$22</f>
        <v>-1144.1914634146342</v>
      </c>
      <c r="C11" s="7">
        <f t="shared" si="0"/>
        <v>-46911.850000000006</v>
      </c>
    </row>
    <row r="12" spans="1:3" x14ac:dyDescent="0.3">
      <c r="A12">
        <v>30</v>
      </c>
      <c r="B12" s="7">
        <f>(A12*16.85) - break_even_analysis!$L$22</f>
        <v>-1127.3414634146343</v>
      </c>
      <c r="C12" s="7">
        <f t="shared" si="0"/>
        <v>-46221.000000000007</v>
      </c>
    </row>
    <row r="13" spans="1:3" x14ac:dyDescent="0.3">
      <c r="A13">
        <v>31</v>
      </c>
      <c r="B13" s="7">
        <f>(A13*16.85) - break_even_analysis!$L$22</f>
        <v>-1110.4914634146344</v>
      </c>
      <c r="C13" s="7">
        <f t="shared" si="0"/>
        <v>-45530.150000000009</v>
      </c>
    </row>
    <row r="14" spans="1:3" x14ac:dyDescent="0.3">
      <c r="A14">
        <v>32</v>
      </c>
      <c r="B14" s="7">
        <f>(A14*16.85) - break_even_analysis!$L$22</f>
        <v>-1093.6414634146342</v>
      </c>
      <c r="C14" s="7">
        <f t="shared" si="0"/>
        <v>-44839.3</v>
      </c>
    </row>
    <row r="15" spans="1:3" x14ac:dyDescent="0.3">
      <c r="A15">
        <v>33</v>
      </c>
      <c r="B15" s="7">
        <f>(A15*16.85) - break_even_analysis!$L$22</f>
        <v>-1076.7914634146341</v>
      </c>
      <c r="C15" s="7">
        <f t="shared" si="0"/>
        <v>-44148.45</v>
      </c>
    </row>
    <row r="16" spans="1:3" x14ac:dyDescent="0.3">
      <c r="A16">
        <v>34</v>
      </c>
      <c r="B16" s="7">
        <f>(A16*16.85) - break_even_analysis!$L$22</f>
        <v>-1059.9414634146342</v>
      </c>
      <c r="C16" s="7">
        <f t="shared" si="0"/>
        <v>-43457.600000000006</v>
      </c>
    </row>
    <row r="17" spans="1:3" x14ac:dyDescent="0.3">
      <c r="A17">
        <v>35</v>
      </c>
      <c r="B17" s="7">
        <f>(A17*16.85) - break_even_analysis!$L$22</f>
        <v>-1043.0914634146343</v>
      </c>
      <c r="C17" s="7">
        <f t="shared" si="0"/>
        <v>-42766.750000000007</v>
      </c>
    </row>
    <row r="18" spans="1:3" x14ac:dyDescent="0.3">
      <c r="A18">
        <v>36</v>
      </c>
      <c r="B18" s="7">
        <f>(A18*16.85) - break_even_analysis!$L$22</f>
        <v>-1026.2414634146344</v>
      </c>
      <c r="C18" s="7">
        <f t="shared" si="0"/>
        <v>-42075.900000000009</v>
      </c>
    </row>
    <row r="19" spans="1:3" x14ac:dyDescent="0.3">
      <c r="A19">
        <v>37</v>
      </c>
      <c r="B19" s="7">
        <f>(A19*16.85) - break_even_analysis!$L$22</f>
        <v>-1009.3914634146342</v>
      </c>
      <c r="C19" s="7">
        <f t="shared" si="0"/>
        <v>-41385.050000000003</v>
      </c>
    </row>
    <row r="20" spans="1:3" x14ac:dyDescent="0.3">
      <c r="A20">
        <v>38</v>
      </c>
      <c r="B20" s="7">
        <f>(A20*16.85) - break_even_analysis!$L$22</f>
        <v>-992.54146341463422</v>
      </c>
      <c r="C20" s="7">
        <f t="shared" si="0"/>
        <v>-40694.200000000004</v>
      </c>
    </row>
    <row r="21" spans="1:3" x14ac:dyDescent="0.3">
      <c r="A21">
        <v>39</v>
      </c>
      <c r="B21" s="7">
        <f>(A21*16.85) - break_even_analysis!$L$22</f>
        <v>-975.6914634146342</v>
      </c>
      <c r="C21" s="7">
        <f t="shared" si="0"/>
        <v>-40003.350000000006</v>
      </c>
    </row>
    <row r="22" spans="1:3" x14ac:dyDescent="0.3">
      <c r="A22">
        <v>40</v>
      </c>
      <c r="B22" s="7">
        <f>(A22*16.85) - break_even_analysis!$L$22</f>
        <v>-958.84146341463429</v>
      </c>
      <c r="C22" s="7">
        <f t="shared" si="0"/>
        <v>-39312.500000000007</v>
      </c>
    </row>
    <row r="23" spans="1:3" x14ac:dyDescent="0.3">
      <c r="A23">
        <v>41</v>
      </c>
      <c r="B23" s="7">
        <f>(A23*16.85) - break_even_analysis!$L$22</f>
        <v>-941.99146341463427</v>
      </c>
      <c r="C23" s="7">
        <f t="shared" si="0"/>
        <v>-38621.65</v>
      </c>
    </row>
    <row r="24" spans="1:3" x14ac:dyDescent="0.3">
      <c r="A24">
        <v>42</v>
      </c>
      <c r="B24" s="7">
        <f>(A24*16.85) - break_even_analysis!$L$22</f>
        <v>-925.14146341463425</v>
      </c>
      <c r="C24" s="7">
        <f t="shared" si="0"/>
        <v>-37930.800000000003</v>
      </c>
    </row>
    <row r="25" spans="1:3" x14ac:dyDescent="0.3">
      <c r="A25">
        <v>43</v>
      </c>
      <c r="B25" s="7">
        <f>(A25*16.85) - break_even_analysis!$L$22</f>
        <v>-908.29146341463422</v>
      </c>
      <c r="C25" s="7">
        <f t="shared" si="0"/>
        <v>-37239.950000000004</v>
      </c>
    </row>
    <row r="26" spans="1:3" x14ac:dyDescent="0.3">
      <c r="A26">
        <v>44</v>
      </c>
      <c r="B26" s="7">
        <f>(A26*16.85) - break_even_analysis!$L$22</f>
        <v>-891.4414634146342</v>
      </c>
      <c r="C26" s="7">
        <f t="shared" si="0"/>
        <v>-36549.100000000006</v>
      </c>
    </row>
    <row r="27" spans="1:3" x14ac:dyDescent="0.3">
      <c r="A27">
        <v>45</v>
      </c>
      <c r="B27" s="7">
        <f>(A27*16.85) - break_even_analysis!$L$22</f>
        <v>-874.59146341463418</v>
      </c>
      <c r="C27" s="7">
        <f t="shared" si="0"/>
        <v>-35858.25</v>
      </c>
    </row>
    <row r="28" spans="1:3" x14ac:dyDescent="0.3">
      <c r="A28">
        <v>46</v>
      </c>
      <c r="B28" s="7">
        <f>(A28*16.85) - break_even_analysis!$L$22</f>
        <v>-857.74146341463427</v>
      </c>
      <c r="C28" s="7">
        <f t="shared" si="0"/>
        <v>-35167.4</v>
      </c>
    </row>
    <row r="29" spans="1:3" x14ac:dyDescent="0.3">
      <c r="A29">
        <v>47</v>
      </c>
      <c r="B29" s="7">
        <f>(A29*16.85) - break_even_analysis!$L$22</f>
        <v>-840.89146341463425</v>
      </c>
      <c r="C29" s="7">
        <f t="shared" si="0"/>
        <v>-34476.550000000003</v>
      </c>
    </row>
    <row r="30" spans="1:3" x14ac:dyDescent="0.3">
      <c r="A30">
        <v>48</v>
      </c>
      <c r="B30" s="7">
        <f>(A30*16.85) - break_even_analysis!$L$22</f>
        <v>-824.04146341463422</v>
      </c>
      <c r="C30" s="7">
        <f t="shared" si="0"/>
        <v>-33785.700000000004</v>
      </c>
    </row>
    <row r="31" spans="1:3" x14ac:dyDescent="0.3">
      <c r="A31">
        <v>49</v>
      </c>
      <c r="B31" s="7">
        <f>(A31*16.85) - break_even_analysis!$L$22</f>
        <v>-807.1914634146342</v>
      </c>
      <c r="C31" s="7">
        <f t="shared" si="0"/>
        <v>-33094.850000000006</v>
      </c>
    </row>
    <row r="32" spans="1:3" x14ac:dyDescent="0.3">
      <c r="A32">
        <v>50</v>
      </c>
      <c r="B32" s="7">
        <f>(A32*16.85) - break_even_analysis!$L$22</f>
        <v>-790.34146341463418</v>
      </c>
      <c r="C32" s="7">
        <f t="shared" si="0"/>
        <v>-32404</v>
      </c>
    </row>
    <row r="33" spans="1:3" x14ac:dyDescent="0.3">
      <c r="A33">
        <v>51</v>
      </c>
      <c r="B33" s="7">
        <f>(A33*16.85) - break_even_analysis!$L$22</f>
        <v>-773.49146341463427</v>
      </c>
      <c r="C33" s="7">
        <f t="shared" si="0"/>
        <v>-31713.150000000005</v>
      </c>
    </row>
    <row r="34" spans="1:3" x14ac:dyDescent="0.3">
      <c r="A34">
        <v>52</v>
      </c>
      <c r="B34" s="7">
        <f>(A34*16.85) - break_even_analysis!$L$22</f>
        <v>-756.64146341463425</v>
      </c>
      <c r="C34" s="7">
        <f t="shared" si="0"/>
        <v>-31022.300000000003</v>
      </c>
    </row>
    <row r="35" spans="1:3" x14ac:dyDescent="0.3">
      <c r="A35">
        <v>53</v>
      </c>
      <c r="B35" s="7">
        <f>(A35*16.85) - break_even_analysis!$L$22</f>
        <v>-739.79146341463422</v>
      </c>
      <c r="C35" s="7">
        <f t="shared" si="0"/>
        <v>-30331.450000000004</v>
      </c>
    </row>
    <row r="36" spans="1:3" x14ac:dyDescent="0.3">
      <c r="A36">
        <v>54</v>
      </c>
      <c r="B36" s="7">
        <f>(A36*16.85) - break_even_analysis!$L$22</f>
        <v>-722.9414634146342</v>
      </c>
      <c r="C36" s="7">
        <f t="shared" si="0"/>
        <v>-29640.600000000002</v>
      </c>
    </row>
    <row r="37" spans="1:3" x14ac:dyDescent="0.3">
      <c r="A37">
        <v>55</v>
      </c>
      <c r="B37" s="7">
        <f>(A37*16.85) - break_even_analysis!$L$22</f>
        <v>-706.09146341463418</v>
      </c>
      <c r="C37" s="7">
        <f t="shared" si="0"/>
        <v>-28949.75</v>
      </c>
    </row>
    <row r="38" spans="1:3" x14ac:dyDescent="0.3">
      <c r="A38">
        <v>56</v>
      </c>
      <c r="B38" s="7">
        <f>(A38*16.85) - break_even_analysis!$L$22</f>
        <v>-689.24146341463415</v>
      </c>
      <c r="C38" s="7">
        <f t="shared" si="0"/>
        <v>-28258.9</v>
      </c>
    </row>
    <row r="39" spans="1:3" x14ac:dyDescent="0.3">
      <c r="A39">
        <v>57</v>
      </c>
      <c r="B39" s="7">
        <f>(A39*16.85) - break_even_analysis!$L$22</f>
        <v>-672.39146341463425</v>
      </c>
      <c r="C39" s="7">
        <f t="shared" si="0"/>
        <v>-27568.050000000003</v>
      </c>
    </row>
    <row r="40" spans="1:3" x14ac:dyDescent="0.3">
      <c r="A40">
        <v>58</v>
      </c>
      <c r="B40" s="7">
        <f>(A40*16.85) - break_even_analysis!$L$22</f>
        <v>-655.54146341463422</v>
      </c>
      <c r="C40" s="7">
        <f t="shared" si="0"/>
        <v>-26877.200000000004</v>
      </c>
    </row>
    <row r="41" spans="1:3" x14ac:dyDescent="0.3">
      <c r="A41">
        <v>59</v>
      </c>
      <c r="B41" s="7">
        <f>(A41*16.85) - break_even_analysis!$L$22</f>
        <v>-638.6914634146342</v>
      </c>
      <c r="C41" s="7">
        <f t="shared" si="0"/>
        <v>-26186.350000000002</v>
      </c>
    </row>
    <row r="42" spans="1:3" x14ac:dyDescent="0.3">
      <c r="A42">
        <v>60</v>
      </c>
      <c r="B42" s="7">
        <f>(A42*16.85) - break_even_analysis!$L$22</f>
        <v>-621.84146341463418</v>
      </c>
      <c r="C42" s="7">
        <f t="shared" si="0"/>
        <v>-25495.5</v>
      </c>
    </row>
    <row r="43" spans="1:3" x14ac:dyDescent="0.3">
      <c r="A43">
        <v>61</v>
      </c>
      <c r="B43" s="7">
        <f>(A43*16.85) - break_even_analysis!$L$22</f>
        <v>-604.99146341463415</v>
      </c>
      <c r="C43" s="7">
        <f t="shared" si="0"/>
        <v>-24804.65</v>
      </c>
    </row>
    <row r="44" spans="1:3" x14ac:dyDescent="0.3">
      <c r="A44">
        <v>62</v>
      </c>
      <c r="B44" s="7">
        <f>(A44*16.85) - break_even_analysis!$L$22</f>
        <v>-588.14146341463425</v>
      </c>
      <c r="C44" s="7">
        <f t="shared" si="0"/>
        <v>-24113.800000000003</v>
      </c>
    </row>
    <row r="45" spans="1:3" x14ac:dyDescent="0.3">
      <c r="A45">
        <v>63</v>
      </c>
      <c r="B45" s="7">
        <f>(A45*16.85) - break_even_analysis!$L$22</f>
        <v>-571.29146341463411</v>
      </c>
      <c r="C45" s="7">
        <f t="shared" si="0"/>
        <v>-23422.949999999997</v>
      </c>
    </row>
    <row r="46" spans="1:3" x14ac:dyDescent="0.3">
      <c r="A46">
        <v>64</v>
      </c>
      <c r="B46" s="7">
        <f>(A46*16.85) - break_even_analysis!$L$22</f>
        <v>-554.4414634146342</v>
      </c>
      <c r="C46" s="7">
        <f t="shared" si="0"/>
        <v>-22732.100000000002</v>
      </c>
    </row>
    <row r="47" spans="1:3" x14ac:dyDescent="0.3">
      <c r="A47">
        <v>65</v>
      </c>
      <c r="B47" s="7">
        <f>(A47*16.85) - break_even_analysis!$L$22</f>
        <v>-537.59146341463429</v>
      </c>
      <c r="C47" s="7">
        <f t="shared" si="0"/>
        <v>-22041.250000000007</v>
      </c>
    </row>
    <row r="48" spans="1:3" x14ac:dyDescent="0.3">
      <c r="A48">
        <v>66</v>
      </c>
      <c r="B48" s="7">
        <f>(A48*16.85) - break_even_analysis!$L$22</f>
        <v>-520.74146341463415</v>
      </c>
      <c r="C48" s="7">
        <f t="shared" si="0"/>
        <v>-21350.400000000001</v>
      </c>
    </row>
    <row r="49" spans="1:3" x14ac:dyDescent="0.3">
      <c r="A49">
        <v>67</v>
      </c>
      <c r="B49" s="7">
        <f>(A49*16.85) - break_even_analysis!$L$22</f>
        <v>-503.89146341463425</v>
      </c>
      <c r="C49" s="7">
        <f t="shared" si="0"/>
        <v>-20659.550000000003</v>
      </c>
    </row>
    <row r="50" spans="1:3" x14ac:dyDescent="0.3">
      <c r="A50">
        <v>68</v>
      </c>
      <c r="B50" s="7">
        <f>(A50*16.85) - break_even_analysis!$L$22</f>
        <v>-487.04146341463411</v>
      </c>
      <c r="C50" s="7">
        <f t="shared" si="0"/>
        <v>-19968.699999999997</v>
      </c>
    </row>
    <row r="51" spans="1:3" x14ac:dyDescent="0.3">
      <c r="A51">
        <v>69</v>
      </c>
      <c r="B51" s="7">
        <f>(A51*16.85) - break_even_analysis!$L$22</f>
        <v>-470.1914634146342</v>
      </c>
      <c r="C51" s="7">
        <f t="shared" si="0"/>
        <v>-19277.850000000002</v>
      </c>
    </row>
    <row r="52" spans="1:3" x14ac:dyDescent="0.3">
      <c r="A52">
        <v>70</v>
      </c>
      <c r="B52" s="7">
        <f>(A52*16.85) - break_even_analysis!$L$22</f>
        <v>-453.34146341463429</v>
      </c>
      <c r="C52" s="7">
        <f t="shared" si="0"/>
        <v>-18587.000000000007</v>
      </c>
    </row>
    <row r="53" spans="1:3" x14ac:dyDescent="0.3">
      <c r="A53">
        <v>71</v>
      </c>
      <c r="B53" s="7">
        <f>(A53*16.85) - break_even_analysis!$L$22</f>
        <v>-436.49146341463415</v>
      </c>
      <c r="C53" s="7">
        <f t="shared" si="0"/>
        <v>-17896.150000000001</v>
      </c>
    </row>
    <row r="54" spans="1:3" x14ac:dyDescent="0.3">
      <c r="A54">
        <v>72</v>
      </c>
      <c r="B54" s="7">
        <f>(A54*16.85) - break_even_analysis!$L$22</f>
        <v>-419.64146341463425</v>
      </c>
      <c r="C54" s="7">
        <f t="shared" si="0"/>
        <v>-17205.300000000003</v>
      </c>
    </row>
    <row r="55" spans="1:3" x14ac:dyDescent="0.3">
      <c r="A55">
        <v>73</v>
      </c>
      <c r="B55" s="7">
        <f>(A55*16.85) - break_even_analysis!$L$22</f>
        <v>-402.79146341463411</v>
      </c>
      <c r="C55" s="7">
        <f t="shared" si="0"/>
        <v>-16514.449999999997</v>
      </c>
    </row>
    <row r="56" spans="1:3" x14ac:dyDescent="0.3">
      <c r="A56">
        <v>74</v>
      </c>
      <c r="B56" s="7">
        <f>(A56*16.85) - break_even_analysis!$L$22</f>
        <v>-385.9414634146342</v>
      </c>
      <c r="C56" s="7">
        <f t="shared" si="0"/>
        <v>-15823.600000000002</v>
      </c>
    </row>
    <row r="57" spans="1:3" x14ac:dyDescent="0.3">
      <c r="A57">
        <v>75</v>
      </c>
      <c r="B57" s="7">
        <f>(A57*16.85) - break_even_analysis!$L$22</f>
        <v>-369.09146341463429</v>
      </c>
      <c r="C57" s="7">
        <f t="shared" si="0"/>
        <v>-15132.750000000005</v>
      </c>
    </row>
    <row r="58" spans="1:3" x14ac:dyDescent="0.3">
      <c r="A58">
        <v>76</v>
      </c>
      <c r="B58" s="7">
        <f>(A58*16.85) - break_even_analysis!$L$22</f>
        <v>-352.24146341463415</v>
      </c>
      <c r="C58" s="7">
        <f t="shared" si="0"/>
        <v>-14441.9</v>
      </c>
    </row>
    <row r="59" spans="1:3" x14ac:dyDescent="0.3">
      <c r="A59">
        <v>77</v>
      </c>
      <c r="B59" s="7">
        <f>(A59*16.85) - break_even_analysis!$L$22</f>
        <v>-335.39146341463425</v>
      </c>
      <c r="C59" s="7">
        <f t="shared" si="0"/>
        <v>-13751.050000000005</v>
      </c>
    </row>
    <row r="60" spans="1:3" x14ac:dyDescent="0.3">
      <c r="A60">
        <v>78</v>
      </c>
      <c r="B60" s="7">
        <f>(A60*16.85) - break_even_analysis!$L$22</f>
        <v>-318.54146341463411</v>
      </c>
      <c r="C60" s="7">
        <f t="shared" si="0"/>
        <v>-13060.199999999999</v>
      </c>
    </row>
    <row r="61" spans="1:3" x14ac:dyDescent="0.3">
      <c r="A61">
        <v>79</v>
      </c>
      <c r="B61" s="7">
        <f>(A61*16.85) - break_even_analysis!$L$22</f>
        <v>-301.6914634146342</v>
      </c>
      <c r="C61" s="7">
        <f t="shared" si="0"/>
        <v>-12369.350000000002</v>
      </c>
    </row>
    <row r="62" spans="1:3" x14ac:dyDescent="0.3">
      <c r="A62">
        <v>80</v>
      </c>
      <c r="B62" s="7">
        <f>(A62*16.85) - break_even_analysis!$L$22</f>
        <v>-284.84146341463429</v>
      </c>
      <c r="C62" s="7">
        <f t="shared" si="0"/>
        <v>-11678.500000000005</v>
      </c>
    </row>
    <row r="63" spans="1:3" x14ac:dyDescent="0.3">
      <c r="A63">
        <v>81</v>
      </c>
      <c r="B63" s="7">
        <f>(A63*16.85) - break_even_analysis!$L$22</f>
        <v>-267.99146341463415</v>
      </c>
      <c r="C63" s="7">
        <f t="shared" si="0"/>
        <v>-10987.65</v>
      </c>
    </row>
    <row r="64" spans="1:3" x14ac:dyDescent="0.3">
      <c r="A64">
        <v>82</v>
      </c>
      <c r="B64" s="7">
        <f>(A64*16.85) - break_even_analysis!$L$22</f>
        <v>-251.14146341463425</v>
      </c>
      <c r="C64" s="7">
        <f t="shared" si="0"/>
        <v>-10296.800000000005</v>
      </c>
    </row>
    <row r="65" spans="1:3" x14ac:dyDescent="0.3">
      <c r="A65">
        <v>83</v>
      </c>
      <c r="B65" s="7">
        <f>(A65*16.85) - break_even_analysis!$L$22</f>
        <v>-234.29146341463411</v>
      </c>
      <c r="C65" s="7">
        <f t="shared" si="0"/>
        <v>-9605.9499999999989</v>
      </c>
    </row>
    <row r="66" spans="1:3" x14ac:dyDescent="0.3">
      <c r="A66">
        <v>84</v>
      </c>
      <c r="B66" s="7">
        <f>(A66*16.85) - break_even_analysis!$L$22</f>
        <v>-217.4414634146342</v>
      </c>
      <c r="C66" s="7">
        <f t="shared" si="0"/>
        <v>-8915.1000000000022</v>
      </c>
    </row>
    <row r="67" spans="1:3" x14ac:dyDescent="0.3">
      <c r="A67">
        <v>85</v>
      </c>
      <c r="B67" s="7">
        <f>(A67*16.85) - break_even_analysis!$L$22</f>
        <v>-200.59146341463406</v>
      </c>
      <c r="C67" s="7">
        <f t="shared" ref="C67:C82" si="1">B67*41</f>
        <v>-8224.2499999999964</v>
      </c>
    </row>
    <row r="68" spans="1:3" x14ac:dyDescent="0.3">
      <c r="A68">
        <v>86</v>
      </c>
      <c r="B68" s="7">
        <f>(A68*16.85) - break_even_analysis!$L$22</f>
        <v>-183.74146341463415</v>
      </c>
      <c r="C68" s="7">
        <f t="shared" si="1"/>
        <v>-7533.4000000000005</v>
      </c>
    </row>
    <row r="69" spans="1:3" x14ac:dyDescent="0.3">
      <c r="A69">
        <v>87</v>
      </c>
      <c r="B69" s="7">
        <f>(A69*16.85) - break_even_analysis!$L$22</f>
        <v>-166.89146341463425</v>
      </c>
      <c r="C69" s="7">
        <f t="shared" si="1"/>
        <v>-6842.5500000000038</v>
      </c>
    </row>
    <row r="70" spans="1:3" x14ac:dyDescent="0.3">
      <c r="A70">
        <v>88</v>
      </c>
      <c r="B70" s="7">
        <f>(A70*16.85) - break_even_analysis!$L$22</f>
        <v>-150.04146341463411</v>
      </c>
      <c r="C70" s="7">
        <f t="shared" si="1"/>
        <v>-6151.6999999999989</v>
      </c>
    </row>
    <row r="71" spans="1:3" x14ac:dyDescent="0.3">
      <c r="A71">
        <v>89</v>
      </c>
      <c r="B71" s="7">
        <f>(A71*16.85) - break_even_analysis!$L$22</f>
        <v>-133.1914634146342</v>
      </c>
      <c r="C71" s="7">
        <f t="shared" si="1"/>
        <v>-5460.8500000000022</v>
      </c>
    </row>
    <row r="72" spans="1:3" x14ac:dyDescent="0.3">
      <c r="A72">
        <v>90</v>
      </c>
      <c r="B72" s="7">
        <f>(A72*16.85) - break_even_analysis!$L$22</f>
        <v>-116.34146341463406</v>
      </c>
      <c r="C72" s="7">
        <f t="shared" si="1"/>
        <v>-4769.9999999999964</v>
      </c>
    </row>
    <row r="73" spans="1:3" x14ac:dyDescent="0.3">
      <c r="A73">
        <v>91</v>
      </c>
      <c r="B73" s="7">
        <f>(A73*16.85) - break_even_analysis!$L$22</f>
        <v>-99.491463414634154</v>
      </c>
      <c r="C73" s="7">
        <f t="shared" si="1"/>
        <v>-4079.1500000000005</v>
      </c>
    </row>
    <row r="74" spans="1:3" x14ac:dyDescent="0.3">
      <c r="A74">
        <v>92</v>
      </c>
      <c r="B74" s="7">
        <f>(A74*16.85) - break_even_analysis!$L$22</f>
        <v>-82.641463414634245</v>
      </c>
      <c r="C74" s="7">
        <f t="shared" si="1"/>
        <v>-3388.3000000000038</v>
      </c>
    </row>
    <row r="75" spans="1:3" x14ac:dyDescent="0.3">
      <c r="A75">
        <v>93</v>
      </c>
      <c r="B75" s="7">
        <f>(A75*16.85) - break_even_analysis!$L$22</f>
        <v>-65.791463414634109</v>
      </c>
      <c r="C75" s="7">
        <f t="shared" si="1"/>
        <v>-2697.4499999999985</v>
      </c>
    </row>
    <row r="76" spans="1:3" x14ac:dyDescent="0.3">
      <c r="A76">
        <v>94</v>
      </c>
      <c r="B76" s="7">
        <f>(A76*16.85) - break_even_analysis!$L$22</f>
        <v>-48.9414634146342</v>
      </c>
      <c r="C76" s="7">
        <f t="shared" si="1"/>
        <v>-2006.6000000000022</v>
      </c>
    </row>
    <row r="77" spans="1:3" x14ac:dyDescent="0.3">
      <c r="A77">
        <v>95</v>
      </c>
      <c r="B77" s="7">
        <f>(A77*16.85) - break_even_analysis!$L$22</f>
        <v>-32.091463414634063</v>
      </c>
      <c r="C77" s="7">
        <f t="shared" si="1"/>
        <v>-1315.7499999999966</v>
      </c>
    </row>
    <row r="78" spans="1:3" x14ac:dyDescent="0.3">
      <c r="A78">
        <v>96</v>
      </c>
      <c r="B78" s="7">
        <f>(A78*16.85) - break_even_analysis!$L$22</f>
        <v>-15.241463414634154</v>
      </c>
      <c r="C78" s="7">
        <f t="shared" si="1"/>
        <v>-624.90000000000032</v>
      </c>
    </row>
    <row r="79" spans="1:3" x14ac:dyDescent="0.3">
      <c r="A79">
        <v>97</v>
      </c>
      <c r="B79" s="7">
        <f>(A79*16.85) - break_even_analysis!$L$22</f>
        <v>1.6085365853657549</v>
      </c>
      <c r="C79" s="7">
        <f t="shared" si="1"/>
        <v>65.949999999995953</v>
      </c>
    </row>
    <row r="80" spans="1:3" x14ac:dyDescent="0.3">
      <c r="A80">
        <v>98</v>
      </c>
      <c r="B80" s="7">
        <f>(A80*16.85) - break_even_analysis!$L$22</f>
        <v>18.458536585365891</v>
      </c>
      <c r="C80" s="7">
        <f t="shared" si="1"/>
        <v>756.80000000000155</v>
      </c>
    </row>
    <row r="81" spans="1:3" x14ac:dyDescent="0.3">
      <c r="A81">
        <v>99</v>
      </c>
      <c r="B81" s="7">
        <f>(A81*16.85) - break_even_analysis!$L$22</f>
        <v>35.3085365853658</v>
      </c>
      <c r="C81" s="7">
        <f t="shared" si="1"/>
        <v>1447.6499999999978</v>
      </c>
    </row>
    <row r="82" spans="1:3" x14ac:dyDescent="0.3">
      <c r="A82">
        <v>100</v>
      </c>
      <c r="B82" s="7">
        <f>(A82*16.85) - break_even_analysis!$L$22</f>
        <v>52.158536585365937</v>
      </c>
      <c r="C82" s="7">
        <f t="shared" si="1"/>
        <v>2138.5000000000036</v>
      </c>
    </row>
    <row r="83" spans="1:3" x14ac:dyDescent="0.3">
      <c r="A83">
        <v>101</v>
      </c>
      <c r="B83" s="7">
        <f>(A83*16.85) - break_even_analysis!$L$22</f>
        <v>69.008536585365846</v>
      </c>
      <c r="C83" s="7">
        <f>B83*41</f>
        <v>2829.3499999999995</v>
      </c>
    </row>
    <row r="84" spans="1:3" x14ac:dyDescent="0.3">
      <c r="A84">
        <v>102</v>
      </c>
      <c r="B84" s="7">
        <f>(A84*16.85) - break_even_analysis!$L$22</f>
        <v>85.858536585365755</v>
      </c>
      <c r="C84" s="7">
        <f t="shared" ref="C84:C96" si="2">B84*41</f>
        <v>3520.1999999999962</v>
      </c>
    </row>
    <row r="85" spans="1:3" x14ac:dyDescent="0.3">
      <c r="A85">
        <v>103</v>
      </c>
      <c r="B85" s="7">
        <f>(A85*16.85) - break_even_analysis!$L$22</f>
        <v>102.70853658536589</v>
      </c>
      <c r="C85" s="7">
        <f t="shared" si="2"/>
        <v>4211.0500000000011</v>
      </c>
    </row>
    <row r="86" spans="1:3" x14ac:dyDescent="0.3">
      <c r="A86">
        <v>104</v>
      </c>
      <c r="B86" s="7">
        <f>(A86*16.85) - break_even_analysis!$L$22</f>
        <v>119.5585365853658</v>
      </c>
      <c r="C86" s="7">
        <f t="shared" si="2"/>
        <v>4901.8999999999978</v>
      </c>
    </row>
    <row r="87" spans="1:3" x14ac:dyDescent="0.3">
      <c r="A87">
        <v>105</v>
      </c>
      <c r="B87" s="7">
        <f>(A87*16.85) - break_even_analysis!$L$22</f>
        <v>136.40853658536594</v>
      </c>
      <c r="C87" s="7">
        <f t="shared" si="2"/>
        <v>5592.7500000000036</v>
      </c>
    </row>
    <row r="88" spans="1:3" x14ac:dyDescent="0.3">
      <c r="A88">
        <v>106</v>
      </c>
      <c r="B88" s="7">
        <f>(A88*16.85) - break_even_analysis!$L$22</f>
        <v>153.25853658536585</v>
      </c>
      <c r="C88" s="7">
        <f t="shared" si="2"/>
        <v>6283.5999999999995</v>
      </c>
    </row>
    <row r="89" spans="1:3" x14ac:dyDescent="0.3">
      <c r="A89">
        <v>107</v>
      </c>
      <c r="B89" s="7">
        <f>(A89*16.85) - break_even_analysis!$L$22</f>
        <v>170.10853658536575</v>
      </c>
      <c r="C89" s="7">
        <f t="shared" si="2"/>
        <v>6974.4499999999962</v>
      </c>
    </row>
    <row r="90" spans="1:3" x14ac:dyDescent="0.3">
      <c r="A90">
        <v>108</v>
      </c>
      <c r="B90" s="7">
        <f>(A90*16.85) - break_even_analysis!$L$22</f>
        <v>186.95853658536589</v>
      </c>
      <c r="C90" s="7">
        <f t="shared" si="2"/>
        <v>7665.3000000000011</v>
      </c>
    </row>
    <row r="91" spans="1:3" x14ac:dyDescent="0.3">
      <c r="A91">
        <v>109</v>
      </c>
      <c r="B91" s="7">
        <f>(A91*16.85) - break_even_analysis!$L$22</f>
        <v>203.8085365853658</v>
      </c>
      <c r="C91" s="7">
        <f t="shared" si="2"/>
        <v>8356.1499999999978</v>
      </c>
    </row>
    <row r="92" spans="1:3" x14ac:dyDescent="0.3">
      <c r="A92">
        <v>110</v>
      </c>
      <c r="B92" s="7">
        <f>(A92*16.85) - break_even_analysis!$L$22</f>
        <v>220.65853658536594</v>
      </c>
      <c r="C92" s="7">
        <f t="shared" si="2"/>
        <v>9047.0000000000036</v>
      </c>
    </row>
    <row r="93" spans="1:3" x14ac:dyDescent="0.3">
      <c r="A93">
        <v>111</v>
      </c>
      <c r="B93" s="7">
        <f>(A93*16.85) - break_even_analysis!$L$22</f>
        <v>237.50853658536585</v>
      </c>
      <c r="C93" s="7">
        <f t="shared" si="2"/>
        <v>9737.85</v>
      </c>
    </row>
    <row r="94" spans="1:3" x14ac:dyDescent="0.3">
      <c r="A94">
        <v>112</v>
      </c>
      <c r="B94" s="7">
        <f>(A94*16.85) - break_even_analysis!$L$22</f>
        <v>254.35853658536598</v>
      </c>
      <c r="C94" s="7">
        <f t="shared" si="2"/>
        <v>10428.700000000004</v>
      </c>
    </row>
    <row r="95" spans="1:3" x14ac:dyDescent="0.3">
      <c r="A95">
        <v>113</v>
      </c>
      <c r="B95" s="7">
        <f>(A95*16.85) - break_even_analysis!$L$22</f>
        <v>271.20853658536589</v>
      </c>
      <c r="C95" s="7">
        <f t="shared" si="2"/>
        <v>11119.550000000001</v>
      </c>
    </row>
    <row r="96" spans="1:3" x14ac:dyDescent="0.3">
      <c r="A96">
        <v>114</v>
      </c>
      <c r="B96" s="7">
        <f>(A96*16.85) - break_even_analysis!$L$22</f>
        <v>288.0585365853658</v>
      </c>
      <c r="C96" s="7">
        <f t="shared" si="2"/>
        <v>11810.399999999998</v>
      </c>
    </row>
    <row r="97" spans="1:3" x14ac:dyDescent="0.3">
      <c r="A97">
        <v>115</v>
      </c>
      <c r="B97" s="7">
        <f>(A97*16.85) - break_even_analysis!$L$22</f>
        <v>304.90853658536594</v>
      </c>
      <c r="C97" s="7">
        <f>B97*41</f>
        <v>12501.250000000004</v>
      </c>
    </row>
    <row r="98" spans="1:3" x14ac:dyDescent="0.3">
      <c r="A98">
        <v>116</v>
      </c>
      <c r="B98" s="7">
        <f>(A98*16.85) - break_even_analysis!$L$22</f>
        <v>321.75853658536585</v>
      </c>
      <c r="C98" s="7">
        <f t="shared" ref="C98:C109" si="3">B98*41</f>
        <v>13192.1</v>
      </c>
    </row>
    <row r="99" spans="1:3" x14ac:dyDescent="0.3">
      <c r="A99">
        <v>117</v>
      </c>
      <c r="B99" s="7">
        <f>(A99*16.85) - break_even_analysis!$L$22</f>
        <v>338.60853658536598</v>
      </c>
      <c r="C99" s="7">
        <f t="shared" si="3"/>
        <v>13882.950000000004</v>
      </c>
    </row>
    <row r="100" spans="1:3" x14ac:dyDescent="0.3">
      <c r="A100">
        <v>118</v>
      </c>
      <c r="B100" s="7">
        <f>(A100*16.85) - break_even_analysis!$L$22</f>
        <v>355.45853658536589</v>
      </c>
      <c r="C100" s="7">
        <f t="shared" si="3"/>
        <v>14573.800000000001</v>
      </c>
    </row>
    <row r="101" spans="1:3" x14ac:dyDescent="0.3">
      <c r="A101">
        <v>119</v>
      </c>
      <c r="B101" s="7">
        <f>(A101*16.85) - break_even_analysis!$L$22</f>
        <v>372.3085365853658</v>
      </c>
      <c r="C101" s="7">
        <f t="shared" si="3"/>
        <v>15264.649999999998</v>
      </c>
    </row>
    <row r="102" spans="1:3" x14ac:dyDescent="0.3">
      <c r="A102">
        <v>120</v>
      </c>
      <c r="B102" s="7">
        <f>(A102*16.85) - break_even_analysis!$L$22</f>
        <v>389.15853658536594</v>
      </c>
      <c r="C102" s="7">
        <f t="shared" si="3"/>
        <v>15955.500000000004</v>
      </c>
    </row>
    <row r="103" spans="1:3" x14ac:dyDescent="0.3">
      <c r="A103">
        <v>121</v>
      </c>
      <c r="B103" s="7">
        <f>(A103*16.85) - break_even_analysis!$L$22</f>
        <v>406.00853658536585</v>
      </c>
      <c r="C103" s="7">
        <f t="shared" si="3"/>
        <v>16646.349999999999</v>
      </c>
    </row>
    <row r="104" spans="1:3" x14ac:dyDescent="0.3">
      <c r="A104">
        <v>122</v>
      </c>
      <c r="B104" s="7">
        <f>(A104*16.85) - break_even_analysis!$L$22</f>
        <v>422.85853658536598</v>
      </c>
      <c r="C104" s="7">
        <f t="shared" si="3"/>
        <v>17337.200000000004</v>
      </c>
    </row>
    <row r="105" spans="1:3" x14ac:dyDescent="0.3">
      <c r="A105">
        <v>123</v>
      </c>
      <c r="B105" s="7">
        <f>(A105*16.85) - break_even_analysis!$L$22</f>
        <v>439.70853658536589</v>
      </c>
      <c r="C105" s="7">
        <f t="shared" si="3"/>
        <v>18028.050000000003</v>
      </c>
    </row>
    <row r="106" spans="1:3" x14ac:dyDescent="0.3">
      <c r="A106">
        <v>124</v>
      </c>
      <c r="B106" s="7">
        <f>(A106*16.85) - break_even_analysis!$L$22</f>
        <v>456.5585365853658</v>
      </c>
      <c r="C106" s="7">
        <f t="shared" si="3"/>
        <v>18718.899999999998</v>
      </c>
    </row>
    <row r="107" spans="1:3" x14ac:dyDescent="0.3">
      <c r="A107">
        <v>125</v>
      </c>
      <c r="B107" s="7">
        <f>(A107*16.85) - break_even_analysis!$L$22</f>
        <v>473.40853658536571</v>
      </c>
      <c r="C107" s="7">
        <f t="shared" si="3"/>
        <v>19409.749999999993</v>
      </c>
    </row>
    <row r="108" spans="1:3" x14ac:dyDescent="0.3">
      <c r="A108">
        <v>126</v>
      </c>
      <c r="B108" s="7">
        <f>(A108*16.85) - break_even_analysis!$L$22</f>
        <v>490.25853658536607</v>
      </c>
      <c r="C108" s="7">
        <f t="shared" si="3"/>
        <v>20100.600000000009</v>
      </c>
    </row>
    <row r="109" spans="1:3" x14ac:dyDescent="0.3">
      <c r="A109">
        <v>127</v>
      </c>
      <c r="B109" s="7">
        <f>(A109*16.85) - break_even_analysis!$L$22</f>
        <v>507.10853658536598</v>
      </c>
      <c r="C109" s="7">
        <f t="shared" si="3"/>
        <v>20791.450000000004</v>
      </c>
    </row>
    <row r="110" spans="1:3" x14ac:dyDescent="0.3">
      <c r="A110">
        <v>128</v>
      </c>
      <c r="B110" s="7">
        <f>(A110*16.85) - break_even_analysis!$L$22</f>
        <v>523.95853658536589</v>
      </c>
      <c r="C110" s="7">
        <f>B110*41</f>
        <v>21482.300000000003</v>
      </c>
    </row>
    <row r="111" spans="1:3" x14ac:dyDescent="0.3">
      <c r="A111">
        <v>129</v>
      </c>
      <c r="B111" s="7">
        <f>(A111*16.85) - break_even_analysis!$L$22</f>
        <v>540.8085365853658</v>
      </c>
      <c r="C111" s="7">
        <f t="shared" ref="C111:C122" si="4">B111*41</f>
        <v>22173.149999999998</v>
      </c>
    </row>
    <row r="112" spans="1:3" x14ac:dyDescent="0.3">
      <c r="A112">
        <v>130</v>
      </c>
      <c r="B112" s="7">
        <f>(A112*16.85) - break_even_analysis!$L$22</f>
        <v>557.65853658536571</v>
      </c>
      <c r="C112" s="7">
        <f t="shared" si="4"/>
        <v>22863.999999999993</v>
      </c>
    </row>
    <row r="113" spans="1:3" x14ac:dyDescent="0.3">
      <c r="A113">
        <v>131</v>
      </c>
      <c r="B113" s="7">
        <f>(A113*16.85) - break_even_analysis!$L$22</f>
        <v>574.50853658536607</v>
      </c>
      <c r="C113" s="7">
        <f t="shared" si="4"/>
        <v>23554.850000000009</v>
      </c>
    </row>
    <row r="114" spans="1:3" x14ac:dyDescent="0.3">
      <c r="A114">
        <v>132</v>
      </c>
      <c r="B114" s="7">
        <f>(A114*16.85) - break_even_analysis!$L$22</f>
        <v>591.35853658536598</v>
      </c>
      <c r="C114" s="7">
        <f t="shared" si="4"/>
        <v>24245.700000000004</v>
      </c>
    </row>
    <row r="115" spans="1:3" x14ac:dyDescent="0.3">
      <c r="A115">
        <v>133</v>
      </c>
      <c r="B115" s="7">
        <f>(A115*16.85) - break_even_analysis!$L$22</f>
        <v>608.20853658536589</v>
      </c>
      <c r="C115" s="7">
        <f t="shared" si="4"/>
        <v>24936.550000000003</v>
      </c>
    </row>
    <row r="116" spans="1:3" x14ac:dyDescent="0.3">
      <c r="A116">
        <v>134</v>
      </c>
      <c r="B116" s="7">
        <f>(A116*16.85) - break_even_analysis!$L$22</f>
        <v>625.0585365853658</v>
      </c>
      <c r="C116" s="7">
        <f t="shared" si="4"/>
        <v>25627.399999999998</v>
      </c>
    </row>
    <row r="117" spans="1:3" x14ac:dyDescent="0.3">
      <c r="A117">
        <v>135</v>
      </c>
      <c r="B117" s="7">
        <f>(A117*16.85) - break_even_analysis!$L$22</f>
        <v>641.90853658536571</v>
      </c>
      <c r="C117" s="7">
        <f t="shared" si="4"/>
        <v>26318.249999999993</v>
      </c>
    </row>
    <row r="118" spans="1:3" x14ac:dyDescent="0.3">
      <c r="A118">
        <v>136</v>
      </c>
      <c r="B118" s="7">
        <f>(A118*16.85) - break_even_analysis!$L$22</f>
        <v>658.75853658536607</v>
      </c>
      <c r="C118" s="7">
        <f t="shared" si="4"/>
        <v>27009.100000000009</v>
      </c>
    </row>
    <row r="119" spans="1:3" x14ac:dyDescent="0.3">
      <c r="A119">
        <v>137</v>
      </c>
      <c r="B119" s="7">
        <f>(A119*16.85) - break_even_analysis!$L$22</f>
        <v>675.60853658536598</v>
      </c>
      <c r="C119" s="7">
        <f t="shared" si="4"/>
        <v>27699.950000000004</v>
      </c>
    </row>
    <row r="120" spans="1:3" x14ac:dyDescent="0.3">
      <c r="A120">
        <v>138</v>
      </c>
      <c r="B120" s="7">
        <f>(A120*16.85) - break_even_analysis!$L$22</f>
        <v>692.45853658536589</v>
      </c>
      <c r="C120" s="7">
        <f t="shared" si="4"/>
        <v>28390.800000000003</v>
      </c>
    </row>
    <row r="121" spans="1:3" x14ac:dyDescent="0.3">
      <c r="A121">
        <v>139</v>
      </c>
      <c r="B121" s="7">
        <f>(A121*16.85) - break_even_analysis!$L$22</f>
        <v>709.3085365853658</v>
      </c>
      <c r="C121" s="7">
        <f t="shared" si="4"/>
        <v>29081.649999999998</v>
      </c>
    </row>
    <row r="122" spans="1:3" x14ac:dyDescent="0.3">
      <c r="A122">
        <v>140</v>
      </c>
      <c r="B122" s="7">
        <f>(A122*16.85) - break_even_analysis!$L$22</f>
        <v>726.15853658536571</v>
      </c>
      <c r="C122" s="7">
        <f t="shared" si="4"/>
        <v>29772.499999999993</v>
      </c>
    </row>
    <row r="123" spans="1:3" x14ac:dyDescent="0.3">
      <c r="A123">
        <v>141</v>
      </c>
      <c r="B123" s="7">
        <f>(A123*16.85) - break_even_analysis!$L$22</f>
        <v>743.00853658536607</v>
      </c>
      <c r="C123" s="7">
        <f>B123*41</f>
        <v>30463.350000000009</v>
      </c>
    </row>
    <row r="124" spans="1:3" x14ac:dyDescent="0.3">
      <c r="A124">
        <v>142</v>
      </c>
      <c r="B124" s="7">
        <f>(A124*16.85) - break_even_analysis!$L$22</f>
        <v>759.85853658536598</v>
      </c>
      <c r="C124" s="7">
        <f t="shared" ref="C124:C187" si="5">B124*41</f>
        <v>31154.200000000004</v>
      </c>
    </row>
    <row r="125" spans="1:3" x14ac:dyDescent="0.3">
      <c r="A125">
        <v>143</v>
      </c>
      <c r="B125" s="7">
        <f>(A125*16.85) - break_even_analysis!$L$22</f>
        <v>776.70853658536589</v>
      </c>
      <c r="C125" s="7">
        <f t="shared" si="5"/>
        <v>31845.050000000003</v>
      </c>
    </row>
    <row r="126" spans="1:3" x14ac:dyDescent="0.3">
      <c r="A126">
        <v>144</v>
      </c>
      <c r="B126" s="7">
        <f>(A126*16.85) - break_even_analysis!$L$22</f>
        <v>793.5585365853658</v>
      </c>
      <c r="C126" s="7">
        <f t="shared" si="5"/>
        <v>32535.899999999998</v>
      </c>
    </row>
    <row r="127" spans="1:3" x14ac:dyDescent="0.3">
      <c r="A127">
        <v>145</v>
      </c>
      <c r="B127" s="7">
        <f>(A127*16.85) - break_even_analysis!$L$22</f>
        <v>810.40853658536571</v>
      </c>
      <c r="C127" s="7">
        <f t="shared" si="5"/>
        <v>33226.749999999993</v>
      </c>
    </row>
    <row r="128" spans="1:3" x14ac:dyDescent="0.3">
      <c r="A128">
        <v>146</v>
      </c>
      <c r="B128" s="7">
        <f>(A128*16.85) - break_even_analysis!$L$22</f>
        <v>827.25853658536607</v>
      </c>
      <c r="C128" s="7">
        <f t="shared" si="5"/>
        <v>33917.600000000006</v>
      </c>
    </row>
    <row r="129" spans="1:3" x14ac:dyDescent="0.3">
      <c r="A129">
        <v>147</v>
      </c>
      <c r="B129" s="7">
        <f>(A129*16.85) - break_even_analysis!$L$22</f>
        <v>844.10853658536598</v>
      </c>
      <c r="C129" s="7">
        <f t="shared" si="5"/>
        <v>34608.450000000004</v>
      </c>
    </row>
    <row r="130" spans="1:3" x14ac:dyDescent="0.3">
      <c r="A130">
        <v>148</v>
      </c>
      <c r="B130" s="7">
        <f>(A130*16.85) - break_even_analysis!$L$22</f>
        <v>860.95853658536589</v>
      </c>
      <c r="C130" s="7">
        <f t="shared" si="5"/>
        <v>35299.300000000003</v>
      </c>
    </row>
    <row r="131" spans="1:3" x14ac:dyDescent="0.3">
      <c r="A131">
        <v>149</v>
      </c>
      <c r="B131" s="7">
        <f>(A131*16.85) - break_even_analysis!$L$22</f>
        <v>877.8085365853658</v>
      </c>
      <c r="C131" s="7">
        <f t="shared" si="5"/>
        <v>35990.149999999994</v>
      </c>
    </row>
    <row r="132" spans="1:3" x14ac:dyDescent="0.3">
      <c r="A132">
        <v>150</v>
      </c>
      <c r="B132" s="7">
        <f>(A132*16.85) - break_even_analysis!$L$22</f>
        <v>894.65853658536571</v>
      </c>
      <c r="C132" s="7">
        <f t="shared" si="5"/>
        <v>36680.999999999993</v>
      </c>
    </row>
    <row r="133" spans="1:3" x14ac:dyDescent="0.3">
      <c r="A133">
        <v>151</v>
      </c>
      <c r="B133" s="7">
        <f>(A133*16.85) - break_even_analysis!$L$22</f>
        <v>911.50853658536607</v>
      </c>
      <c r="C133" s="7">
        <f t="shared" si="5"/>
        <v>37371.850000000006</v>
      </c>
    </row>
    <row r="134" spans="1:3" x14ac:dyDescent="0.3">
      <c r="A134">
        <v>152</v>
      </c>
      <c r="B134" s="7">
        <f>(A134*16.85) - break_even_analysis!$L$22</f>
        <v>928.35853658536598</v>
      </c>
      <c r="C134" s="7">
        <f t="shared" si="5"/>
        <v>38062.700000000004</v>
      </c>
    </row>
    <row r="135" spans="1:3" x14ac:dyDescent="0.3">
      <c r="A135">
        <v>153</v>
      </c>
      <c r="B135" s="7">
        <f>(A135*16.85) - break_even_analysis!$L$22</f>
        <v>945.20853658536589</v>
      </c>
      <c r="C135" s="7">
        <f t="shared" si="5"/>
        <v>38753.550000000003</v>
      </c>
    </row>
    <row r="136" spans="1:3" x14ac:dyDescent="0.3">
      <c r="A136">
        <v>154</v>
      </c>
      <c r="B136" s="7">
        <f>(A136*16.85) - break_even_analysis!$L$22</f>
        <v>962.0585365853658</v>
      </c>
      <c r="C136" s="7">
        <f t="shared" si="5"/>
        <v>39444.399999999994</v>
      </c>
    </row>
    <row r="137" spans="1:3" x14ac:dyDescent="0.3">
      <c r="A137">
        <v>155</v>
      </c>
      <c r="B137" s="7">
        <f>(A137*16.85) - break_even_analysis!$L$22</f>
        <v>978.90853658536571</v>
      </c>
      <c r="C137" s="7">
        <f t="shared" si="5"/>
        <v>40135.249999999993</v>
      </c>
    </row>
    <row r="138" spans="1:3" x14ac:dyDescent="0.3">
      <c r="A138">
        <v>156</v>
      </c>
      <c r="B138" s="7">
        <f>(A138*16.85) - break_even_analysis!$L$22</f>
        <v>995.75853658536607</v>
      </c>
      <c r="C138" s="7">
        <f t="shared" si="5"/>
        <v>40826.100000000006</v>
      </c>
    </row>
    <row r="139" spans="1:3" x14ac:dyDescent="0.3">
      <c r="A139">
        <v>157</v>
      </c>
      <c r="B139" s="7">
        <f>(A139*16.85) - break_even_analysis!$L$22</f>
        <v>1012.608536585366</v>
      </c>
      <c r="C139" s="7">
        <f t="shared" si="5"/>
        <v>41516.950000000004</v>
      </c>
    </row>
    <row r="140" spans="1:3" x14ac:dyDescent="0.3">
      <c r="A140">
        <v>158</v>
      </c>
      <c r="B140" s="7">
        <f>(A140*16.85) - break_even_analysis!$L$22</f>
        <v>1029.4585365853659</v>
      </c>
      <c r="C140" s="7">
        <f t="shared" si="5"/>
        <v>42207.8</v>
      </c>
    </row>
    <row r="141" spans="1:3" x14ac:dyDescent="0.3">
      <c r="A141">
        <v>159</v>
      </c>
      <c r="B141" s="7">
        <f>(A141*16.85) - break_even_analysis!$L$22</f>
        <v>1046.3085365853658</v>
      </c>
      <c r="C141" s="7">
        <f t="shared" si="5"/>
        <v>42898.649999999994</v>
      </c>
    </row>
    <row r="142" spans="1:3" x14ac:dyDescent="0.3">
      <c r="A142">
        <v>160</v>
      </c>
      <c r="B142" s="7">
        <f>(A142*16.85) - break_even_analysis!$L$22</f>
        <v>1063.1585365853657</v>
      </c>
      <c r="C142" s="7">
        <f t="shared" si="5"/>
        <v>43589.499999999993</v>
      </c>
    </row>
    <row r="143" spans="1:3" x14ac:dyDescent="0.3">
      <c r="A143">
        <v>161</v>
      </c>
      <c r="B143" s="7">
        <f>(A143*16.85) - break_even_analysis!$L$22</f>
        <v>1080.0085365853661</v>
      </c>
      <c r="C143" s="7">
        <f t="shared" si="5"/>
        <v>44280.350000000006</v>
      </c>
    </row>
    <row r="144" spans="1:3" x14ac:dyDescent="0.3">
      <c r="A144">
        <v>162</v>
      </c>
      <c r="B144" s="7">
        <f>(A144*16.85) - break_even_analysis!$L$22</f>
        <v>1096.858536585366</v>
      </c>
      <c r="C144" s="7">
        <f t="shared" si="5"/>
        <v>44971.200000000004</v>
      </c>
    </row>
    <row r="145" spans="1:3" x14ac:dyDescent="0.3">
      <c r="A145">
        <v>163</v>
      </c>
      <c r="B145" s="7">
        <f>(A145*16.85) - break_even_analysis!$L$22</f>
        <v>1113.7085365853659</v>
      </c>
      <c r="C145" s="7">
        <f t="shared" si="5"/>
        <v>45662.05</v>
      </c>
    </row>
    <row r="146" spans="1:3" x14ac:dyDescent="0.3">
      <c r="A146">
        <v>164</v>
      </c>
      <c r="B146" s="7">
        <f>(A146*16.85) - break_even_analysis!$L$22</f>
        <v>1130.5585365853658</v>
      </c>
      <c r="C146" s="7">
        <f t="shared" si="5"/>
        <v>46352.899999999994</v>
      </c>
    </row>
    <row r="147" spans="1:3" x14ac:dyDescent="0.3">
      <c r="A147">
        <v>165</v>
      </c>
      <c r="B147" s="7">
        <f>(A147*16.85) - break_even_analysis!$L$22</f>
        <v>1147.4085365853662</v>
      </c>
      <c r="C147" s="7">
        <f t="shared" si="5"/>
        <v>47043.750000000015</v>
      </c>
    </row>
    <row r="148" spans="1:3" x14ac:dyDescent="0.3">
      <c r="A148">
        <v>166</v>
      </c>
      <c r="B148" s="7">
        <f>(A148*16.85) - break_even_analysis!$L$22</f>
        <v>1164.2585365853661</v>
      </c>
      <c r="C148" s="7">
        <f t="shared" si="5"/>
        <v>47734.600000000006</v>
      </c>
    </row>
    <row r="149" spans="1:3" x14ac:dyDescent="0.3">
      <c r="A149">
        <v>167</v>
      </c>
      <c r="B149" s="7">
        <f>(A149*16.85) - break_even_analysis!$L$22</f>
        <v>1181.108536585366</v>
      </c>
      <c r="C149" s="7">
        <f t="shared" si="5"/>
        <v>48425.450000000004</v>
      </c>
    </row>
    <row r="150" spans="1:3" x14ac:dyDescent="0.3">
      <c r="A150">
        <v>168</v>
      </c>
      <c r="B150" s="7">
        <f>(A150*16.85) - break_even_analysis!$L$22</f>
        <v>1197.9585365853659</v>
      </c>
      <c r="C150" s="7">
        <f t="shared" si="5"/>
        <v>49116.3</v>
      </c>
    </row>
    <row r="151" spans="1:3" x14ac:dyDescent="0.3">
      <c r="A151">
        <v>169</v>
      </c>
      <c r="B151" s="7">
        <f>(A151*16.85) - break_even_analysis!$L$22</f>
        <v>1214.8085365853658</v>
      </c>
      <c r="C151" s="7">
        <f t="shared" si="5"/>
        <v>49807.149999999994</v>
      </c>
    </row>
    <row r="152" spans="1:3" x14ac:dyDescent="0.3">
      <c r="A152">
        <v>170</v>
      </c>
      <c r="B152" s="7">
        <f>(A152*16.85) - break_even_analysis!$L$22</f>
        <v>1231.6585365853662</v>
      </c>
      <c r="C152" s="7">
        <f t="shared" si="5"/>
        <v>50498.000000000015</v>
      </c>
    </row>
    <row r="153" spans="1:3" x14ac:dyDescent="0.3">
      <c r="A153">
        <v>171</v>
      </c>
      <c r="B153" s="7">
        <f>(A153*16.85) - break_even_analysis!$L$22</f>
        <v>1248.5085365853661</v>
      </c>
      <c r="C153" s="7">
        <f t="shared" si="5"/>
        <v>51188.850000000006</v>
      </c>
    </row>
    <row r="154" spans="1:3" x14ac:dyDescent="0.3">
      <c r="A154">
        <v>172</v>
      </c>
      <c r="B154" s="7">
        <f>(A154*16.85) - break_even_analysis!$L$22</f>
        <v>1265.358536585366</v>
      </c>
      <c r="C154" s="7">
        <f t="shared" si="5"/>
        <v>51879.700000000004</v>
      </c>
    </row>
    <row r="155" spans="1:3" x14ac:dyDescent="0.3">
      <c r="A155">
        <v>173</v>
      </c>
      <c r="B155" s="7">
        <f>(A155*16.85) - break_even_analysis!$L$22</f>
        <v>1282.2085365853659</v>
      </c>
      <c r="C155" s="7">
        <f t="shared" si="5"/>
        <v>52570.55</v>
      </c>
    </row>
    <row r="156" spans="1:3" x14ac:dyDescent="0.3">
      <c r="A156">
        <v>174</v>
      </c>
      <c r="B156" s="7">
        <f>(A156*16.85) - break_even_analysis!$L$22</f>
        <v>1299.0585365853658</v>
      </c>
      <c r="C156" s="7">
        <f t="shared" si="5"/>
        <v>53261.399999999994</v>
      </c>
    </row>
    <row r="157" spans="1:3" x14ac:dyDescent="0.3">
      <c r="A157">
        <v>175</v>
      </c>
      <c r="B157" s="7">
        <f>(A157*16.85) - break_even_analysis!$L$22</f>
        <v>1315.9085365853662</v>
      </c>
      <c r="C157" s="7">
        <f t="shared" si="5"/>
        <v>53952.250000000015</v>
      </c>
    </row>
    <row r="158" spans="1:3" x14ac:dyDescent="0.3">
      <c r="A158">
        <v>176</v>
      </c>
      <c r="B158" s="7">
        <f>(A158*16.85) - break_even_analysis!$L$22</f>
        <v>1332.7585365853661</v>
      </c>
      <c r="C158" s="7">
        <f t="shared" si="5"/>
        <v>54643.100000000006</v>
      </c>
    </row>
    <row r="159" spans="1:3" x14ac:dyDescent="0.3">
      <c r="A159">
        <v>177</v>
      </c>
      <c r="B159" s="7">
        <f>(A159*16.85) - break_even_analysis!$L$22</f>
        <v>1349.608536585366</v>
      </c>
      <c r="C159" s="7">
        <f t="shared" si="5"/>
        <v>55333.950000000004</v>
      </c>
    </row>
    <row r="160" spans="1:3" x14ac:dyDescent="0.3">
      <c r="A160">
        <v>178</v>
      </c>
      <c r="B160" s="7">
        <f>(A160*16.85) - break_even_analysis!$L$22</f>
        <v>1366.4585365853659</v>
      </c>
      <c r="C160" s="7">
        <f t="shared" si="5"/>
        <v>56024.800000000003</v>
      </c>
    </row>
    <row r="161" spans="1:3" x14ac:dyDescent="0.3">
      <c r="A161">
        <v>179</v>
      </c>
      <c r="B161" s="7">
        <f>(A161*16.85) - break_even_analysis!$L$22</f>
        <v>1383.3085365853658</v>
      </c>
      <c r="C161" s="7">
        <f t="shared" si="5"/>
        <v>56715.649999999994</v>
      </c>
    </row>
    <row r="162" spans="1:3" x14ac:dyDescent="0.3">
      <c r="A162">
        <v>180</v>
      </c>
      <c r="B162" s="7">
        <f>(A162*16.85) - break_even_analysis!$L$22</f>
        <v>1400.1585365853662</v>
      </c>
      <c r="C162" s="7">
        <f t="shared" si="5"/>
        <v>57406.500000000015</v>
      </c>
    </row>
    <row r="163" spans="1:3" x14ac:dyDescent="0.3">
      <c r="A163">
        <v>181</v>
      </c>
      <c r="B163" s="7">
        <f>(A163*16.85) - break_even_analysis!$L$22</f>
        <v>1417.0085365853661</v>
      </c>
      <c r="C163" s="7">
        <f t="shared" si="5"/>
        <v>58097.350000000006</v>
      </c>
    </row>
    <row r="164" spans="1:3" x14ac:dyDescent="0.3">
      <c r="A164">
        <v>182</v>
      </c>
      <c r="B164" s="7">
        <f>(A164*16.85) - break_even_analysis!$L$22</f>
        <v>1433.858536585366</v>
      </c>
      <c r="C164" s="7">
        <f t="shared" si="5"/>
        <v>58788.200000000004</v>
      </c>
    </row>
    <row r="165" spans="1:3" x14ac:dyDescent="0.3">
      <c r="A165">
        <v>183</v>
      </c>
      <c r="B165" s="7">
        <f>(A165*16.85) - break_even_analysis!$L$22</f>
        <v>1450.7085365853659</v>
      </c>
      <c r="C165" s="7">
        <f t="shared" si="5"/>
        <v>59479.05</v>
      </c>
    </row>
    <row r="166" spans="1:3" x14ac:dyDescent="0.3">
      <c r="A166">
        <v>184</v>
      </c>
      <c r="B166" s="7">
        <f>(A166*16.85) - break_even_analysis!$L$22</f>
        <v>1467.5585365853658</v>
      </c>
      <c r="C166" s="7">
        <f t="shared" si="5"/>
        <v>60169.899999999994</v>
      </c>
    </row>
    <row r="167" spans="1:3" x14ac:dyDescent="0.3">
      <c r="A167">
        <v>185</v>
      </c>
      <c r="B167" s="7">
        <f>(A167*16.85) - break_even_analysis!$L$22</f>
        <v>1484.4085365853662</v>
      </c>
      <c r="C167" s="7">
        <f t="shared" si="5"/>
        <v>60860.750000000015</v>
      </c>
    </row>
    <row r="168" spans="1:3" x14ac:dyDescent="0.3">
      <c r="A168">
        <v>186</v>
      </c>
      <c r="B168" s="7">
        <f>(A168*16.85) - break_even_analysis!$L$22</f>
        <v>1501.2585365853661</v>
      </c>
      <c r="C168" s="7">
        <f t="shared" si="5"/>
        <v>61551.600000000006</v>
      </c>
    </row>
    <row r="169" spans="1:3" x14ac:dyDescent="0.3">
      <c r="A169">
        <v>187</v>
      </c>
      <c r="B169" s="7">
        <f>(A169*16.85) - break_even_analysis!$L$22</f>
        <v>1518.108536585366</v>
      </c>
      <c r="C169" s="7">
        <f t="shared" si="5"/>
        <v>62242.450000000004</v>
      </c>
    </row>
    <row r="170" spans="1:3" x14ac:dyDescent="0.3">
      <c r="A170">
        <v>188</v>
      </c>
      <c r="B170" s="7">
        <f>(A170*16.85) - break_even_analysis!$L$22</f>
        <v>1534.9585365853659</v>
      </c>
      <c r="C170" s="7">
        <f t="shared" si="5"/>
        <v>62933.3</v>
      </c>
    </row>
    <row r="171" spans="1:3" x14ac:dyDescent="0.3">
      <c r="A171">
        <v>189</v>
      </c>
      <c r="B171" s="7">
        <f>(A171*16.85) - break_even_analysis!$L$22</f>
        <v>1551.8085365853658</v>
      </c>
      <c r="C171" s="7">
        <f t="shared" si="5"/>
        <v>63624.149999999994</v>
      </c>
    </row>
    <row r="172" spans="1:3" x14ac:dyDescent="0.3">
      <c r="A172">
        <v>190</v>
      </c>
      <c r="B172" s="7">
        <f>(A172*16.85) - break_even_analysis!$L$22</f>
        <v>1568.6585365853662</v>
      </c>
      <c r="C172" s="7">
        <f t="shared" si="5"/>
        <v>64315.000000000015</v>
      </c>
    </row>
    <row r="173" spans="1:3" x14ac:dyDescent="0.3">
      <c r="A173">
        <v>191</v>
      </c>
      <c r="B173" s="7">
        <f>(A173*16.85) - break_even_analysis!$L$22</f>
        <v>1585.5085365853661</v>
      </c>
      <c r="C173" s="7">
        <f t="shared" si="5"/>
        <v>65005.850000000006</v>
      </c>
    </row>
    <row r="174" spans="1:3" x14ac:dyDescent="0.3">
      <c r="A174">
        <v>192</v>
      </c>
      <c r="B174" s="7">
        <f>(A174*16.85) - break_even_analysis!$L$22</f>
        <v>1602.358536585366</v>
      </c>
      <c r="C174" s="7">
        <f t="shared" si="5"/>
        <v>65696.700000000012</v>
      </c>
    </row>
    <row r="175" spans="1:3" x14ac:dyDescent="0.3">
      <c r="A175">
        <v>193</v>
      </c>
      <c r="B175" s="7">
        <f>(A175*16.85) - break_even_analysis!$L$22</f>
        <v>1619.2085365853659</v>
      </c>
      <c r="C175" s="7">
        <f t="shared" si="5"/>
        <v>66387.55</v>
      </c>
    </row>
    <row r="176" spans="1:3" x14ac:dyDescent="0.3">
      <c r="A176">
        <v>194</v>
      </c>
      <c r="B176" s="7">
        <f>(A176*16.85) - break_even_analysis!$L$22</f>
        <v>1636.0585365853658</v>
      </c>
      <c r="C176" s="7">
        <f t="shared" si="5"/>
        <v>67078.399999999994</v>
      </c>
    </row>
    <row r="177" spans="1:3" x14ac:dyDescent="0.3">
      <c r="A177">
        <v>195</v>
      </c>
      <c r="B177" s="7">
        <f>(A177*16.85) - break_even_analysis!$L$22</f>
        <v>1652.9085365853662</v>
      </c>
      <c r="C177" s="7">
        <f t="shared" si="5"/>
        <v>67769.250000000015</v>
      </c>
    </row>
    <row r="178" spans="1:3" x14ac:dyDescent="0.3">
      <c r="A178">
        <v>196</v>
      </c>
      <c r="B178" s="7">
        <f>(A178*16.85) - break_even_analysis!$L$22</f>
        <v>1669.7585365853661</v>
      </c>
      <c r="C178" s="7">
        <f t="shared" si="5"/>
        <v>68460.100000000006</v>
      </c>
    </row>
    <row r="179" spans="1:3" x14ac:dyDescent="0.3">
      <c r="A179">
        <v>197</v>
      </c>
      <c r="B179" s="7">
        <f>(A179*16.85) - break_even_analysis!$L$22</f>
        <v>1686.608536585366</v>
      </c>
      <c r="C179" s="7">
        <f t="shared" si="5"/>
        <v>69150.950000000012</v>
      </c>
    </row>
    <row r="180" spans="1:3" x14ac:dyDescent="0.3">
      <c r="A180">
        <v>198</v>
      </c>
      <c r="B180" s="7">
        <f>(A180*16.85) - break_even_analysis!$L$22</f>
        <v>1703.4585365853659</v>
      </c>
      <c r="C180" s="7">
        <f t="shared" si="5"/>
        <v>69841.8</v>
      </c>
    </row>
    <row r="181" spans="1:3" x14ac:dyDescent="0.3">
      <c r="A181">
        <v>199</v>
      </c>
      <c r="B181" s="7">
        <f>(A181*16.85) - break_even_analysis!$L$22</f>
        <v>1720.3085365853658</v>
      </c>
      <c r="C181" s="7">
        <f t="shared" si="5"/>
        <v>70532.649999999994</v>
      </c>
    </row>
    <row r="182" spans="1:3" x14ac:dyDescent="0.3">
      <c r="A182">
        <v>200</v>
      </c>
      <c r="B182" s="7">
        <f>(A182*16.85) - break_even_analysis!$L$22</f>
        <v>1737.1585365853662</v>
      </c>
      <c r="C182" s="7">
        <f t="shared" si="5"/>
        <v>71223.500000000015</v>
      </c>
    </row>
    <row r="183" spans="1:3" x14ac:dyDescent="0.3">
      <c r="A183">
        <v>201</v>
      </c>
      <c r="B183" s="7">
        <f>(A183*16.85) - break_even_analysis!$L$22</f>
        <v>1754.0085365853661</v>
      </c>
      <c r="C183" s="7">
        <f t="shared" si="5"/>
        <v>71914.350000000006</v>
      </c>
    </row>
    <row r="184" spans="1:3" x14ac:dyDescent="0.3">
      <c r="A184">
        <v>202</v>
      </c>
      <c r="B184" s="7">
        <f>(A184*16.85) - break_even_analysis!$L$22</f>
        <v>1770.858536585366</v>
      </c>
      <c r="C184" s="7">
        <f t="shared" si="5"/>
        <v>72605.200000000012</v>
      </c>
    </row>
    <row r="185" spans="1:3" x14ac:dyDescent="0.3">
      <c r="A185">
        <v>203</v>
      </c>
      <c r="B185" s="7">
        <f>(A185*16.85) - break_even_analysis!$L$22</f>
        <v>1787.7085365853659</v>
      </c>
      <c r="C185" s="7">
        <f t="shared" si="5"/>
        <v>73296.05</v>
      </c>
    </row>
    <row r="186" spans="1:3" x14ac:dyDescent="0.3">
      <c r="A186">
        <v>204</v>
      </c>
      <c r="B186" s="7">
        <f>(A186*16.85) - break_even_analysis!$L$22</f>
        <v>1804.5585365853658</v>
      </c>
      <c r="C186" s="7">
        <f t="shared" si="5"/>
        <v>73986.899999999994</v>
      </c>
    </row>
    <row r="187" spans="1:3" x14ac:dyDescent="0.3">
      <c r="A187">
        <v>205</v>
      </c>
      <c r="B187" s="7">
        <f>(A187*16.85) - break_even_analysis!$L$22</f>
        <v>1821.4085365853662</v>
      </c>
      <c r="C187" s="7">
        <f t="shared" si="5"/>
        <v>74677.750000000015</v>
      </c>
    </row>
    <row r="188" spans="1:3" x14ac:dyDescent="0.3">
      <c r="A188">
        <v>206</v>
      </c>
      <c r="B188" s="7">
        <f>(A188*16.85) - break_even_analysis!$L$22</f>
        <v>1838.2585365853661</v>
      </c>
      <c r="C188" s="7">
        <f t="shared" ref="C188:C203" si="6">B188*41</f>
        <v>75368.600000000006</v>
      </c>
    </row>
    <row r="189" spans="1:3" x14ac:dyDescent="0.3">
      <c r="A189">
        <v>207</v>
      </c>
      <c r="B189" s="7">
        <f>(A189*16.85) - break_even_analysis!$L$22</f>
        <v>1855.108536585366</v>
      </c>
      <c r="C189" s="7">
        <f t="shared" si="6"/>
        <v>76059.450000000012</v>
      </c>
    </row>
    <row r="190" spans="1:3" x14ac:dyDescent="0.3">
      <c r="A190">
        <v>208</v>
      </c>
      <c r="B190" s="7">
        <f>(A190*16.85) - break_even_analysis!$L$22</f>
        <v>1871.9585365853659</v>
      </c>
      <c r="C190" s="7">
        <f t="shared" si="6"/>
        <v>76750.3</v>
      </c>
    </row>
    <row r="191" spans="1:3" x14ac:dyDescent="0.3">
      <c r="A191">
        <v>209</v>
      </c>
      <c r="B191" s="7">
        <f>(A191*16.85) - break_even_analysis!$L$22</f>
        <v>1888.8085365853658</v>
      </c>
      <c r="C191" s="7">
        <f t="shared" si="6"/>
        <v>77441.149999999994</v>
      </c>
    </row>
    <row r="192" spans="1:3" x14ac:dyDescent="0.3">
      <c r="A192">
        <v>210</v>
      </c>
      <c r="B192" s="7">
        <f>(A192*16.85) - break_even_analysis!$L$22</f>
        <v>1905.6585365853662</v>
      </c>
      <c r="C192" s="7">
        <f t="shared" si="6"/>
        <v>78132.000000000015</v>
      </c>
    </row>
    <row r="193" spans="1:3" x14ac:dyDescent="0.3">
      <c r="A193">
        <v>211</v>
      </c>
      <c r="B193" s="7">
        <f>(A193*16.85) - break_even_analysis!$L$22</f>
        <v>1922.5085365853661</v>
      </c>
      <c r="C193" s="7">
        <f t="shared" si="6"/>
        <v>78822.850000000006</v>
      </c>
    </row>
    <row r="194" spans="1:3" x14ac:dyDescent="0.3">
      <c r="A194">
        <v>212</v>
      </c>
      <c r="B194" s="7">
        <f>(A194*16.85) - break_even_analysis!$L$22</f>
        <v>1939.358536585366</v>
      </c>
      <c r="C194" s="7">
        <f t="shared" si="6"/>
        <v>79513.700000000012</v>
      </c>
    </row>
    <row r="195" spans="1:3" x14ac:dyDescent="0.3">
      <c r="A195">
        <v>213</v>
      </c>
      <c r="B195" s="7">
        <f>(A195*16.85) - break_even_analysis!$L$22</f>
        <v>1956.2085365853659</v>
      </c>
      <c r="C195" s="7">
        <f t="shared" si="6"/>
        <v>80204.55</v>
      </c>
    </row>
    <row r="196" spans="1:3" x14ac:dyDescent="0.3">
      <c r="A196">
        <v>214</v>
      </c>
      <c r="B196" s="7">
        <f>(A196*16.85) - break_even_analysis!$L$22</f>
        <v>1973.0585365853658</v>
      </c>
      <c r="C196" s="7">
        <f t="shared" si="6"/>
        <v>80895.399999999994</v>
      </c>
    </row>
    <row r="197" spans="1:3" x14ac:dyDescent="0.3">
      <c r="A197">
        <v>215</v>
      </c>
      <c r="B197" s="7">
        <f>(A197*16.85) - break_even_analysis!$L$22</f>
        <v>1989.9085365853662</v>
      </c>
      <c r="C197" s="7">
        <f t="shared" si="6"/>
        <v>81586.250000000015</v>
      </c>
    </row>
    <row r="198" spans="1:3" x14ac:dyDescent="0.3">
      <c r="A198">
        <v>216</v>
      </c>
      <c r="B198" s="7">
        <f>(A198*16.85) - break_even_analysis!$L$22</f>
        <v>2006.7585365853661</v>
      </c>
      <c r="C198" s="7">
        <f t="shared" si="6"/>
        <v>82277.100000000006</v>
      </c>
    </row>
    <row r="199" spans="1:3" x14ac:dyDescent="0.3">
      <c r="A199">
        <v>217</v>
      </c>
      <c r="B199" s="7">
        <f>(A199*16.85) - break_even_analysis!$L$22</f>
        <v>2023.608536585366</v>
      </c>
      <c r="C199" s="7">
        <f t="shared" si="6"/>
        <v>82967.950000000012</v>
      </c>
    </row>
    <row r="200" spans="1:3" x14ac:dyDescent="0.3">
      <c r="A200">
        <v>218</v>
      </c>
      <c r="B200" s="7">
        <f>(A200*16.85) - break_even_analysis!$L$22</f>
        <v>2040.4585365853659</v>
      </c>
      <c r="C200" s="7">
        <f t="shared" si="6"/>
        <v>83658.8</v>
      </c>
    </row>
    <row r="201" spans="1:3" x14ac:dyDescent="0.3">
      <c r="A201">
        <v>219</v>
      </c>
      <c r="B201" s="7">
        <f>(A201*16.85) - break_even_analysis!$L$22</f>
        <v>2057.3085365853658</v>
      </c>
      <c r="C201" s="7">
        <f t="shared" si="6"/>
        <v>84349.65</v>
      </c>
    </row>
    <row r="202" spans="1:3" x14ac:dyDescent="0.3">
      <c r="A202">
        <v>220</v>
      </c>
      <c r="B202" s="7">
        <f>(A202*16.85) - break_even_analysis!$L$22</f>
        <v>2074.1585365853662</v>
      </c>
      <c r="C202" s="7">
        <f t="shared" si="6"/>
        <v>85040.500000000015</v>
      </c>
    </row>
    <row r="203" spans="1:3" x14ac:dyDescent="0.3">
      <c r="A203">
        <v>221</v>
      </c>
      <c r="B203" s="7">
        <f>(A203*16.85) - break_even_analysis!$L$22</f>
        <v>2091.0085365853661</v>
      </c>
      <c r="C203" s="7">
        <f t="shared" si="6"/>
        <v>85731.35</v>
      </c>
    </row>
    <row r="204" spans="1:3" x14ac:dyDescent="0.3">
      <c r="A204">
        <v>222</v>
      </c>
      <c r="B204" s="7">
        <f>(A204*16.85) - break_even_analysis!$L$22</f>
        <v>2107.858536585366</v>
      </c>
      <c r="C204" s="7">
        <f>B204*41</f>
        <v>86422.200000000012</v>
      </c>
    </row>
    <row r="205" spans="1:3" x14ac:dyDescent="0.3">
      <c r="A205">
        <v>223</v>
      </c>
      <c r="B205" s="7">
        <f>(A205*16.85) - break_even_analysis!$L$22</f>
        <v>2124.7085365853659</v>
      </c>
      <c r="C205" s="7">
        <f t="shared" ref="C205:C217" si="7">B205*41</f>
        <v>87113.05</v>
      </c>
    </row>
    <row r="206" spans="1:3" x14ac:dyDescent="0.3">
      <c r="A206">
        <v>224</v>
      </c>
      <c r="B206" s="7">
        <f>(A206*16.85) - break_even_analysis!$L$22</f>
        <v>2141.5585365853663</v>
      </c>
      <c r="C206" s="7">
        <f t="shared" si="7"/>
        <v>87803.900000000023</v>
      </c>
    </row>
    <row r="207" spans="1:3" x14ac:dyDescent="0.3">
      <c r="A207">
        <v>225</v>
      </c>
      <c r="B207" s="7">
        <f>(A207*16.85) - break_even_analysis!$L$22</f>
        <v>2158.4085365853662</v>
      </c>
      <c r="C207" s="7">
        <f t="shared" si="7"/>
        <v>88494.750000000015</v>
      </c>
    </row>
    <row r="208" spans="1:3" x14ac:dyDescent="0.3">
      <c r="A208">
        <v>226</v>
      </c>
      <c r="B208" s="7">
        <f>(A208*16.85) - break_even_analysis!$L$22</f>
        <v>2175.2585365853661</v>
      </c>
      <c r="C208" s="7">
        <f t="shared" si="7"/>
        <v>89185.600000000006</v>
      </c>
    </row>
    <row r="209" spans="1:3" x14ac:dyDescent="0.3">
      <c r="A209">
        <v>227</v>
      </c>
      <c r="B209" s="7">
        <f>(A209*16.85) - break_even_analysis!$L$22</f>
        <v>2192.108536585366</v>
      </c>
      <c r="C209" s="7">
        <f t="shared" si="7"/>
        <v>89876.450000000012</v>
      </c>
    </row>
    <row r="210" spans="1:3" x14ac:dyDescent="0.3">
      <c r="A210">
        <v>228</v>
      </c>
      <c r="B210" s="7">
        <f>(A210*16.85) - break_even_analysis!$L$22</f>
        <v>2208.9585365853659</v>
      </c>
      <c r="C210" s="7">
        <f t="shared" si="7"/>
        <v>90567.3</v>
      </c>
    </row>
    <row r="211" spans="1:3" x14ac:dyDescent="0.3">
      <c r="A211">
        <v>229</v>
      </c>
      <c r="B211" s="7">
        <f>(A211*16.85) - break_even_analysis!$L$22</f>
        <v>2225.8085365853663</v>
      </c>
      <c r="C211" s="7">
        <f t="shared" si="7"/>
        <v>91258.150000000023</v>
      </c>
    </row>
    <row r="212" spans="1:3" x14ac:dyDescent="0.3">
      <c r="A212">
        <v>230</v>
      </c>
      <c r="B212" s="7">
        <f>(A212*16.85) - break_even_analysis!$L$22</f>
        <v>2242.6585365853662</v>
      </c>
      <c r="C212" s="7">
        <f t="shared" si="7"/>
        <v>91949.000000000015</v>
      </c>
    </row>
    <row r="213" spans="1:3" x14ac:dyDescent="0.3">
      <c r="A213">
        <v>231</v>
      </c>
      <c r="B213" s="7">
        <f>(A213*16.85) - break_even_analysis!$L$22</f>
        <v>2259.5085365853661</v>
      </c>
      <c r="C213" s="7">
        <f t="shared" si="7"/>
        <v>92639.85</v>
      </c>
    </row>
    <row r="214" spans="1:3" x14ac:dyDescent="0.3">
      <c r="A214">
        <v>232</v>
      </c>
      <c r="B214" s="7">
        <f>(A214*16.85) - break_even_analysis!$L$22</f>
        <v>2276.358536585366</v>
      </c>
      <c r="C214" s="7">
        <f t="shared" si="7"/>
        <v>93330.700000000012</v>
      </c>
    </row>
    <row r="215" spans="1:3" x14ac:dyDescent="0.3">
      <c r="A215">
        <v>233</v>
      </c>
      <c r="B215" s="7">
        <f>(A215*16.85) - break_even_analysis!$L$22</f>
        <v>2293.2085365853659</v>
      </c>
      <c r="C215" s="7">
        <f t="shared" si="7"/>
        <v>94021.55</v>
      </c>
    </row>
    <row r="216" spans="1:3" x14ac:dyDescent="0.3">
      <c r="A216">
        <v>234</v>
      </c>
      <c r="B216" s="7">
        <f>(A216*16.85) - break_even_analysis!$L$22</f>
        <v>2310.0585365853663</v>
      </c>
      <c r="C216" s="7">
        <f t="shared" si="7"/>
        <v>94712.400000000023</v>
      </c>
    </row>
    <row r="217" spans="1:3" x14ac:dyDescent="0.3">
      <c r="A217">
        <v>235</v>
      </c>
      <c r="B217" s="7">
        <f>(A217*16.85) - break_even_analysis!$L$22</f>
        <v>2326.9085365853662</v>
      </c>
      <c r="C217" s="7">
        <f t="shared" si="7"/>
        <v>95403.250000000015</v>
      </c>
    </row>
    <row r="218" spans="1:3" x14ac:dyDescent="0.3">
      <c r="A218">
        <v>236</v>
      </c>
      <c r="B218" s="7">
        <f>(A218*16.85) - break_even_analysis!$L$22</f>
        <v>2343.7585365853661</v>
      </c>
      <c r="C218" s="7">
        <f>B218*41</f>
        <v>96094.1</v>
      </c>
    </row>
    <row r="219" spans="1:3" x14ac:dyDescent="0.3">
      <c r="A219">
        <v>237</v>
      </c>
      <c r="B219" s="7">
        <f>(A219*16.85) - break_even_analysis!$L$22</f>
        <v>2360.608536585366</v>
      </c>
      <c r="C219" s="7">
        <f t="shared" ref="C219:C230" si="8">B219*41</f>
        <v>96784.950000000012</v>
      </c>
    </row>
    <row r="220" spans="1:3" x14ac:dyDescent="0.3">
      <c r="A220">
        <v>238</v>
      </c>
      <c r="B220" s="7">
        <f>(A220*16.85) - break_even_analysis!$L$22</f>
        <v>2377.4585365853659</v>
      </c>
      <c r="C220" s="7">
        <f t="shared" si="8"/>
        <v>97475.8</v>
      </c>
    </row>
    <row r="221" spans="1:3" x14ac:dyDescent="0.3">
      <c r="A221">
        <v>239</v>
      </c>
      <c r="B221" s="7">
        <f>(A221*16.85) - break_even_analysis!$L$22</f>
        <v>2394.3085365853663</v>
      </c>
      <c r="C221" s="7">
        <f t="shared" si="8"/>
        <v>98166.650000000023</v>
      </c>
    </row>
    <row r="222" spans="1:3" x14ac:dyDescent="0.3">
      <c r="A222">
        <v>240</v>
      </c>
      <c r="B222" s="7">
        <f>(A222*16.85) - break_even_analysis!$L$22</f>
        <v>2411.1585365853662</v>
      </c>
      <c r="C222" s="7">
        <f t="shared" si="8"/>
        <v>98857.500000000015</v>
      </c>
    </row>
    <row r="223" spans="1:3" x14ac:dyDescent="0.3">
      <c r="A223">
        <v>241</v>
      </c>
      <c r="B223" s="7">
        <f>(A223*16.85) - break_even_analysis!$L$22</f>
        <v>2428.0085365853661</v>
      </c>
      <c r="C223" s="7">
        <f t="shared" si="8"/>
        <v>99548.35</v>
      </c>
    </row>
    <row r="224" spans="1:3" x14ac:dyDescent="0.3">
      <c r="A224">
        <v>242</v>
      </c>
      <c r="B224" s="7">
        <f>(A224*16.85) - break_even_analysis!$L$22</f>
        <v>2444.858536585366</v>
      </c>
      <c r="C224" s="7">
        <f t="shared" si="8"/>
        <v>100239.20000000001</v>
      </c>
    </row>
    <row r="225" spans="1:3" x14ac:dyDescent="0.3">
      <c r="A225">
        <v>243</v>
      </c>
      <c r="B225" s="7">
        <f>(A225*16.85) - break_even_analysis!$L$22</f>
        <v>2461.7085365853659</v>
      </c>
      <c r="C225" s="7">
        <f t="shared" si="8"/>
        <v>100930.05</v>
      </c>
    </row>
    <row r="226" spans="1:3" x14ac:dyDescent="0.3">
      <c r="A226">
        <v>244</v>
      </c>
      <c r="B226" s="7">
        <f>(A226*16.85) - break_even_analysis!$L$22</f>
        <v>2478.5585365853663</v>
      </c>
      <c r="C226" s="7">
        <f t="shared" si="8"/>
        <v>101620.90000000002</v>
      </c>
    </row>
    <row r="227" spans="1:3" x14ac:dyDescent="0.3">
      <c r="A227">
        <v>245</v>
      </c>
      <c r="B227" s="7">
        <f>(A227*16.85) - break_even_analysis!$L$22</f>
        <v>2495.4085365853657</v>
      </c>
      <c r="C227" s="7">
        <f t="shared" si="8"/>
        <v>102311.75</v>
      </c>
    </row>
    <row r="228" spans="1:3" x14ac:dyDescent="0.3">
      <c r="A228">
        <v>246</v>
      </c>
      <c r="B228" s="7">
        <f>(A228*16.85) - break_even_analysis!$L$22</f>
        <v>2512.2585365853661</v>
      </c>
      <c r="C228" s="7">
        <f t="shared" si="8"/>
        <v>103002.6</v>
      </c>
    </row>
    <row r="229" spans="1:3" x14ac:dyDescent="0.3">
      <c r="A229">
        <v>247</v>
      </c>
      <c r="B229" s="7">
        <f>(A229*16.85) - break_even_analysis!$L$22</f>
        <v>2529.1085365853664</v>
      </c>
      <c r="C229" s="7">
        <f t="shared" si="8"/>
        <v>103693.45000000003</v>
      </c>
    </row>
    <row r="230" spans="1:3" x14ac:dyDescent="0.3">
      <c r="A230">
        <v>248</v>
      </c>
      <c r="B230" s="7">
        <f>(A230*16.85) - break_even_analysis!$L$22</f>
        <v>2545.9585365853659</v>
      </c>
      <c r="C230" s="7">
        <f t="shared" si="8"/>
        <v>104384.3</v>
      </c>
    </row>
    <row r="231" spans="1:3" x14ac:dyDescent="0.3">
      <c r="A231">
        <v>249</v>
      </c>
      <c r="B231" s="7">
        <f>(A231*16.85) - break_even_analysis!$L$22</f>
        <v>2562.8085365853663</v>
      </c>
      <c r="C231" s="7">
        <f>B231*41</f>
        <v>105075.15000000002</v>
      </c>
    </row>
    <row r="232" spans="1:3" x14ac:dyDescent="0.3">
      <c r="A232">
        <v>250</v>
      </c>
      <c r="B232" s="7">
        <f>(A232*16.85) - break_even_analysis!$L$22</f>
        <v>2579.6585365853657</v>
      </c>
      <c r="C232" s="7">
        <f t="shared" ref="C232" si="9">B232*41</f>
        <v>105766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0BCEE-16DE-42C7-A2FC-48C2F97259AA}">
  <dimension ref="A1:H9"/>
  <sheetViews>
    <sheetView workbookViewId="0">
      <selection activeCell="D2" sqref="D2:H9"/>
    </sheetView>
  </sheetViews>
  <sheetFormatPr defaultRowHeight="14.4" x14ac:dyDescent="0.3"/>
  <cols>
    <col min="1" max="1" width="14.21875" customWidth="1"/>
    <col min="2" max="2" width="7.6640625" customWidth="1"/>
    <col min="3" max="3" width="12.44140625" customWidth="1"/>
    <col min="4" max="4" width="14.33203125" customWidth="1"/>
    <col min="5" max="5" width="12.88671875" customWidth="1"/>
    <col min="6" max="6" width="9.6640625" bestFit="1" customWidth="1"/>
    <col min="7" max="7" width="9.6640625" customWidth="1"/>
    <col min="8" max="8" width="14.33203125" customWidth="1"/>
  </cols>
  <sheetData>
    <row r="1" spans="1:8" ht="57.6" x14ac:dyDescent="0.3">
      <c r="A1" s="1" t="s">
        <v>0</v>
      </c>
      <c r="B1" s="1" t="s">
        <v>1</v>
      </c>
      <c r="C1" s="1" t="s">
        <v>2</v>
      </c>
      <c r="D1" s="1" t="s">
        <v>25</v>
      </c>
      <c r="E1" s="1" t="s">
        <v>26</v>
      </c>
      <c r="F1" s="1" t="s">
        <v>27</v>
      </c>
      <c r="G1" s="1" t="s">
        <v>29</v>
      </c>
      <c r="H1" s="1" t="s">
        <v>28</v>
      </c>
    </row>
    <row r="2" spans="1:8" x14ac:dyDescent="0.3">
      <c r="A2" s="2" t="s">
        <v>7</v>
      </c>
      <c r="B2" s="4">
        <v>0.06</v>
      </c>
      <c r="C2" s="6">
        <v>2610</v>
      </c>
      <c r="D2" s="6">
        <f>C2+6410</f>
        <v>9020</v>
      </c>
      <c r="E2" s="5">
        <f>(6410*6)+(C2*12)</f>
        <v>69780</v>
      </c>
      <c r="F2" s="7">
        <f>E2/15</f>
        <v>4652</v>
      </c>
      <c r="G2" s="7">
        <f>E2/41</f>
        <v>1701.9512195121952</v>
      </c>
      <c r="H2" s="8">
        <f>G2/14.82</f>
        <v>114.84151278759751</v>
      </c>
    </row>
    <row r="3" spans="1:8" x14ac:dyDescent="0.3">
      <c r="A3" s="2" t="s">
        <v>7</v>
      </c>
      <c r="B3" s="4">
        <v>0.08</v>
      </c>
      <c r="C3" s="6">
        <v>2738</v>
      </c>
      <c r="D3" s="6">
        <f t="shared" ref="D3:D9" si="0">C3+6410</f>
        <v>9148</v>
      </c>
      <c r="E3" s="5">
        <f t="shared" ref="E3:E9" si="1">(6410*6)+(C3*12)</f>
        <v>71316</v>
      </c>
      <c r="F3" s="7">
        <f t="shared" ref="F3:F9" si="2">E3/15</f>
        <v>4754.3999999999996</v>
      </c>
      <c r="G3" s="7">
        <f t="shared" ref="G3:G9" si="3">E3/41</f>
        <v>1739.4146341463415</v>
      </c>
      <c r="H3" s="8">
        <f t="shared" ref="H3:H9" si="4">G3/14.82</f>
        <v>117.36940851189888</v>
      </c>
    </row>
    <row r="4" spans="1:8" x14ac:dyDescent="0.3">
      <c r="A4" s="2" t="s">
        <v>7</v>
      </c>
      <c r="B4" s="4">
        <v>0.1</v>
      </c>
      <c r="C4" s="6">
        <v>2868</v>
      </c>
      <c r="D4" s="6">
        <f t="shared" si="0"/>
        <v>9278</v>
      </c>
      <c r="E4" s="5">
        <f t="shared" si="1"/>
        <v>72876</v>
      </c>
      <c r="F4" s="7">
        <f t="shared" si="2"/>
        <v>4858.3999999999996</v>
      </c>
      <c r="G4" s="7">
        <f t="shared" si="3"/>
        <v>1777.4634146341464</v>
      </c>
      <c r="H4" s="8">
        <f t="shared" si="4"/>
        <v>119.93680260689247</v>
      </c>
    </row>
    <row r="5" spans="1:8" x14ac:dyDescent="0.3">
      <c r="A5" s="2" t="s">
        <v>7</v>
      </c>
      <c r="B5" s="4">
        <v>0.12</v>
      </c>
      <c r="C5" s="6">
        <v>3002</v>
      </c>
      <c r="D5" s="6">
        <f t="shared" si="0"/>
        <v>9412</v>
      </c>
      <c r="E5" s="5">
        <f t="shared" si="1"/>
        <v>74484</v>
      </c>
      <c r="F5" s="7">
        <f t="shared" si="2"/>
        <v>4965.6000000000004</v>
      </c>
      <c r="G5" s="7">
        <f t="shared" si="3"/>
        <v>1816.6829268292684</v>
      </c>
      <c r="H5" s="8">
        <f t="shared" si="4"/>
        <v>122.58319344327046</v>
      </c>
    </row>
    <row r="6" spans="1:8" x14ac:dyDescent="0.3">
      <c r="A6" s="2" t="s">
        <v>16</v>
      </c>
      <c r="B6" s="4">
        <v>0.06</v>
      </c>
      <c r="C6" s="6">
        <v>1973</v>
      </c>
      <c r="D6" s="6">
        <f t="shared" si="0"/>
        <v>8383</v>
      </c>
      <c r="E6" s="5">
        <f t="shared" si="1"/>
        <v>62136</v>
      </c>
      <c r="F6" s="7">
        <f t="shared" si="2"/>
        <v>4142.3999999999996</v>
      </c>
      <c r="G6" s="7">
        <f t="shared" si="3"/>
        <v>1515.5121951219512</v>
      </c>
      <c r="H6" s="8">
        <f t="shared" si="4"/>
        <v>102.26128172212896</v>
      </c>
    </row>
    <row r="7" spans="1:8" x14ac:dyDescent="0.3">
      <c r="A7" s="2" t="s">
        <v>16</v>
      </c>
      <c r="B7" s="4">
        <v>0.08</v>
      </c>
      <c r="C7" s="6">
        <v>2046</v>
      </c>
      <c r="D7" s="6">
        <f t="shared" si="0"/>
        <v>8456</v>
      </c>
      <c r="E7" s="5">
        <f t="shared" si="1"/>
        <v>63012</v>
      </c>
      <c r="F7" s="7">
        <f t="shared" si="2"/>
        <v>4200.8</v>
      </c>
      <c r="G7" s="7">
        <f t="shared" si="3"/>
        <v>1536.8780487804879</v>
      </c>
      <c r="H7" s="8">
        <f t="shared" si="4"/>
        <v>103.70297225239459</v>
      </c>
    </row>
    <row r="8" spans="1:8" x14ac:dyDescent="0.3">
      <c r="A8" s="2" t="s">
        <v>16</v>
      </c>
      <c r="B8" s="4">
        <v>0.1</v>
      </c>
      <c r="C8" s="6">
        <v>2124</v>
      </c>
      <c r="D8" s="6">
        <f t="shared" si="0"/>
        <v>8534</v>
      </c>
      <c r="E8" s="5">
        <f t="shared" si="1"/>
        <v>63948</v>
      </c>
      <c r="F8" s="7">
        <f t="shared" si="2"/>
        <v>4263.2</v>
      </c>
      <c r="G8" s="7">
        <f t="shared" si="3"/>
        <v>1559.7073170731708</v>
      </c>
      <c r="H8" s="8">
        <f t="shared" si="4"/>
        <v>105.24340870939074</v>
      </c>
    </row>
    <row r="9" spans="1:8" x14ac:dyDescent="0.3">
      <c r="A9" s="2" t="s">
        <v>16</v>
      </c>
      <c r="B9" s="4">
        <v>0.12</v>
      </c>
      <c r="C9" s="6">
        <v>2206</v>
      </c>
      <c r="D9" s="6">
        <f t="shared" si="0"/>
        <v>8616</v>
      </c>
      <c r="E9" s="5">
        <f t="shared" si="1"/>
        <v>64932</v>
      </c>
      <c r="F9" s="7">
        <f t="shared" si="2"/>
        <v>4328.8</v>
      </c>
      <c r="G9" s="7">
        <f t="shared" si="3"/>
        <v>1583.7073170731708</v>
      </c>
      <c r="H9" s="8">
        <f t="shared" si="4"/>
        <v>106.86284190777131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FB0D7-B921-4A66-9965-863F0689D8CA}">
  <dimension ref="A1:H9"/>
  <sheetViews>
    <sheetView workbookViewId="0">
      <selection activeCell="A2" sqref="A2:C9"/>
    </sheetView>
  </sheetViews>
  <sheetFormatPr defaultRowHeight="14.4" x14ac:dyDescent="0.3"/>
  <cols>
    <col min="1" max="1" width="14.21875" customWidth="1"/>
    <col min="2" max="2" width="7.6640625" customWidth="1"/>
    <col min="3" max="4" width="14.33203125" customWidth="1"/>
    <col min="5" max="5" width="12.88671875" customWidth="1"/>
    <col min="6" max="6" width="9.6640625" bestFit="1" customWidth="1"/>
    <col min="7" max="7" width="9.6640625" customWidth="1"/>
    <col min="8" max="8" width="14.33203125" customWidth="1"/>
  </cols>
  <sheetData>
    <row r="1" spans="1:8" ht="57.6" x14ac:dyDescent="0.3">
      <c r="A1" s="1" t="s">
        <v>0</v>
      </c>
      <c r="B1" s="1" t="s">
        <v>1</v>
      </c>
      <c r="C1" s="1" t="s">
        <v>2</v>
      </c>
      <c r="D1" s="1" t="s">
        <v>25</v>
      </c>
      <c r="E1" s="1" t="s">
        <v>26</v>
      </c>
      <c r="F1" s="1" t="s">
        <v>27</v>
      </c>
      <c r="G1" s="1" t="s">
        <v>29</v>
      </c>
      <c r="H1" s="1" t="s">
        <v>28</v>
      </c>
    </row>
    <row r="2" spans="1:8" x14ac:dyDescent="0.3">
      <c r="A2" s="2" t="s">
        <v>7</v>
      </c>
      <c r="B2" s="4">
        <v>0.06</v>
      </c>
      <c r="C2" s="6">
        <v>2320</v>
      </c>
      <c r="D2" s="6">
        <f>C2+6410</f>
        <v>8730</v>
      </c>
      <c r="E2" s="5">
        <f>(6410*6)+(C2*12)</f>
        <v>66300</v>
      </c>
      <c r="F2" s="7">
        <f>E2/15</f>
        <v>4420</v>
      </c>
      <c r="G2" s="7">
        <f>E2/41</f>
        <v>1617.0731707317073</v>
      </c>
      <c r="H2" s="8">
        <f>G2/14.82</f>
        <v>109.11424903722721</v>
      </c>
    </row>
    <row r="3" spans="1:8" x14ac:dyDescent="0.3">
      <c r="A3" s="2" t="s">
        <v>7</v>
      </c>
      <c r="B3" s="4">
        <v>0.08</v>
      </c>
      <c r="C3" s="6">
        <v>2433</v>
      </c>
      <c r="D3" s="6">
        <f t="shared" ref="D3:D9" si="0">C3+6410</f>
        <v>8843</v>
      </c>
      <c r="E3" s="5">
        <f t="shared" ref="E3:E9" si="1">(6410*6)+(C3*12)</f>
        <v>67656</v>
      </c>
      <c r="F3" s="7">
        <f t="shared" ref="F3:F9" si="2">E3/15</f>
        <v>4510.3999999999996</v>
      </c>
      <c r="G3" s="7">
        <f t="shared" ref="G3:G9" si="3">E3/41</f>
        <v>1650.1463414634147</v>
      </c>
      <c r="H3" s="8">
        <f t="shared" ref="H3:H9" si="4">G3/14.82</f>
        <v>111.34590698133702</v>
      </c>
    </row>
    <row r="4" spans="1:8" x14ac:dyDescent="0.3">
      <c r="A4" s="2" t="s">
        <v>7</v>
      </c>
      <c r="B4" s="4">
        <v>0.1</v>
      </c>
      <c r="C4" s="6">
        <v>2550</v>
      </c>
      <c r="D4" s="6">
        <f t="shared" si="0"/>
        <v>8960</v>
      </c>
      <c r="E4" s="5">
        <f t="shared" si="1"/>
        <v>69060</v>
      </c>
      <c r="F4" s="7">
        <f t="shared" si="2"/>
        <v>4604</v>
      </c>
      <c r="G4" s="7">
        <f t="shared" si="3"/>
        <v>1684.3902439024391</v>
      </c>
      <c r="H4" s="8">
        <f t="shared" si="4"/>
        <v>113.65656166683125</v>
      </c>
    </row>
    <row r="5" spans="1:8" x14ac:dyDescent="0.3">
      <c r="A5" s="2" t="s">
        <v>7</v>
      </c>
      <c r="B5" s="4">
        <v>0.12</v>
      </c>
      <c r="C5" s="6">
        <v>2669</v>
      </c>
      <c r="D5" s="6">
        <f t="shared" si="0"/>
        <v>9079</v>
      </c>
      <c r="E5" s="5">
        <f t="shared" si="1"/>
        <v>70488</v>
      </c>
      <c r="F5" s="7">
        <f t="shared" si="2"/>
        <v>4699.2</v>
      </c>
      <c r="G5" s="7">
        <f t="shared" si="3"/>
        <v>1719.219512195122</v>
      </c>
      <c r="H5" s="8">
        <f t="shared" si="4"/>
        <v>116.00671472301768</v>
      </c>
    </row>
    <row r="6" spans="1:8" x14ac:dyDescent="0.3">
      <c r="A6" s="2" t="s">
        <v>16</v>
      </c>
      <c r="B6" s="4">
        <v>0.06</v>
      </c>
      <c r="C6" s="6">
        <v>1754</v>
      </c>
      <c r="D6" s="6">
        <f t="shared" si="0"/>
        <v>8164</v>
      </c>
      <c r="E6" s="5">
        <f t="shared" si="1"/>
        <v>59508</v>
      </c>
      <c r="F6" s="7">
        <f t="shared" si="2"/>
        <v>3967.2</v>
      </c>
      <c r="G6" s="7">
        <f t="shared" si="3"/>
        <v>1451.4146341463415</v>
      </c>
      <c r="H6" s="8">
        <f t="shared" si="4"/>
        <v>97.936210131332089</v>
      </c>
    </row>
    <row r="7" spans="1:8" x14ac:dyDescent="0.3">
      <c r="A7" s="2" t="s">
        <v>16</v>
      </c>
      <c r="B7" s="4">
        <v>0.08</v>
      </c>
      <c r="C7" s="6">
        <v>1819</v>
      </c>
      <c r="D7" s="6">
        <f t="shared" si="0"/>
        <v>8229</v>
      </c>
      <c r="E7" s="5">
        <f t="shared" si="1"/>
        <v>60288</v>
      </c>
      <c r="F7" s="7">
        <f t="shared" si="2"/>
        <v>4019.2</v>
      </c>
      <c r="G7" s="7">
        <f t="shared" si="3"/>
        <v>1470.439024390244</v>
      </c>
      <c r="H7" s="8">
        <f t="shared" si="4"/>
        <v>99.219907178828876</v>
      </c>
    </row>
    <row r="8" spans="1:8" x14ac:dyDescent="0.3">
      <c r="A8" s="2" t="s">
        <v>16</v>
      </c>
      <c r="B8" s="4">
        <v>0.1</v>
      </c>
      <c r="C8" s="6">
        <v>1888</v>
      </c>
      <c r="D8" s="6">
        <f t="shared" si="0"/>
        <v>8298</v>
      </c>
      <c r="E8" s="5">
        <f t="shared" si="1"/>
        <v>61116</v>
      </c>
      <c r="F8" s="7">
        <f t="shared" si="2"/>
        <v>4074.4</v>
      </c>
      <c r="G8" s="7">
        <f t="shared" si="3"/>
        <v>1490.6341463414635</v>
      </c>
      <c r="H8" s="8">
        <f t="shared" si="4"/>
        <v>100.58260096771009</v>
      </c>
    </row>
    <row r="9" spans="1:8" x14ac:dyDescent="0.3">
      <c r="A9" s="2" t="s">
        <v>16</v>
      </c>
      <c r="B9" s="4">
        <v>0.12</v>
      </c>
      <c r="C9" s="6">
        <v>1961</v>
      </c>
      <c r="D9" s="6">
        <f t="shared" si="0"/>
        <v>8371</v>
      </c>
      <c r="E9" s="5">
        <f t="shared" si="1"/>
        <v>61992</v>
      </c>
      <c r="F9" s="7">
        <f t="shared" si="2"/>
        <v>4132.8</v>
      </c>
      <c r="G9" s="7">
        <f t="shared" si="3"/>
        <v>1512</v>
      </c>
      <c r="H9" s="8">
        <f t="shared" si="4"/>
        <v>102.02429149797571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break_even_analysis</vt:lpstr>
      <vt:lpstr>revenue_lowest_total</vt:lpstr>
      <vt:lpstr>revenue_lowest_monthly</vt:lpstr>
      <vt:lpstr>10pct down</vt:lpstr>
      <vt:lpstr>20pct 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Pontius</dc:creator>
  <cp:lastModifiedBy>Marc Pontius</cp:lastModifiedBy>
  <dcterms:created xsi:type="dcterms:W3CDTF">2025-11-11T21:41:01Z</dcterms:created>
  <dcterms:modified xsi:type="dcterms:W3CDTF">2025-11-12T18:52:14Z</dcterms:modified>
</cp:coreProperties>
</file>