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Data\"/>
    </mc:Choice>
  </mc:AlternateContent>
  <xr:revisionPtr revIDLastSave="0" documentId="13_ncr:1_{8ED88424-8B3C-4539-A51D-8E618AD3EA1C}" xr6:coauthVersionLast="47" xr6:coauthVersionMax="47" xr10:uidLastSave="{00000000-0000-0000-0000-000000000000}"/>
  <bookViews>
    <workbookView xWindow="-20520" yWindow="3540" windowWidth="20640" windowHeight="11040" firstSheet="1" activeTab="4" xr2:uid="{21936ED1-1280-4A69-9A7C-6FB733280EA1}"/>
  </bookViews>
  <sheets>
    <sheet name="startup_costs" sheetId="1" r:id="rId1"/>
    <sheet name="startup_costs_transposed" sheetId="4" r:id="rId2"/>
    <sheet name="operating_costs" sheetId="2" r:id="rId3"/>
    <sheet name="operating_costs_transposed" sheetId="5" r:id="rId4"/>
    <sheet name="Sheet1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D8" i="2"/>
  <c r="E8" i="2"/>
  <c r="F8" i="2"/>
  <c r="G8" i="2"/>
  <c r="H8" i="2"/>
  <c r="I8" i="2"/>
  <c r="J8" i="2"/>
  <c r="K8" i="2"/>
  <c r="L8" i="2"/>
  <c r="B8" i="2"/>
  <c r="C9" i="1"/>
  <c r="D9" i="1"/>
  <c r="E9" i="1"/>
  <c r="F9" i="1"/>
  <c r="G9" i="1"/>
  <c r="H9" i="1"/>
  <c r="I9" i="1"/>
  <c r="J9" i="1"/>
  <c r="B9" i="1"/>
  <c r="I3" i="4"/>
  <c r="I4" i="4"/>
  <c r="I5" i="4"/>
  <c r="I6" i="4"/>
  <c r="I7" i="4"/>
  <c r="I8" i="4"/>
  <c r="I9" i="4"/>
  <c r="I10" i="4"/>
  <c r="I2" i="4"/>
  <c r="H12" i="5"/>
  <c r="H3" i="5"/>
  <c r="H4" i="5"/>
  <c r="H5" i="5"/>
  <c r="H6" i="5"/>
  <c r="H7" i="5"/>
  <c r="H8" i="5"/>
  <c r="H9" i="5"/>
  <c r="H10" i="5"/>
  <c r="H11" i="5"/>
  <c r="H2" i="5"/>
</calcChain>
</file>

<file path=xl/sharedStrings.xml><?xml version="1.0" encoding="utf-8"?>
<sst xmlns="http://schemas.openxmlformats.org/spreadsheetml/2006/main" count="70" uniqueCount="28">
  <si>
    <t>Permits and licensing</t>
  </si>
  <si>
    <t>Truck</t>
  </si>
  <si>
    <t xml:space="preserve">food/beverage </t>
  </si>
  <si>
    <t>register/pos</t>
  </si>
  <si>
    <t>Smallwares</t>
  </si>
  <si>
    <t>Branding</t>
  </si>
  <si>
    <t>disposable products</t>
  </si>
  <si>
    <t>Miscellaneous</t>
  </si>
  <si>
    <t>insurance</t>
  </si>
  <si>
    <t>food/beverage</t>
  </si>
  <si>
    <t>gas/propane</t>
  </si>
  <si>
    <t>internet</t>
  </si>
  <si>
    <t>repairs/maintenance</t>
  </si>
  <si>
    <t>commisary</t>
  </si>
  <si>
    <t>permit renewals</t>
  </si>
  <si>
    <t>marketing/advertising</t>
  </si>
  <si>
    <t>pos subscription</t>
  </si>
  <si>
    <t>https://www.sage.com/en-us/accounting-software/startup-costs/food-truck/</t>
  </si>
  <si>
    <t>google</t>
  </si>
  <si>
    <t>https://www.restroworks.com/blog/food-truck-cost/</t>
  </si>
  <si>
    <t>labor</t>
  </si>
  <si>
    <t>https://pos.toasttab.com/blog/on-the-line/how-much-does-a-food-truck-cost</t>
  </si>
  <si>
    <t>https://cloudkitchens.com/blog/how-much-does-a-food-truck-cost/</t>
  </si>
  <si>
    <t>total equipment</t>
  </si>
  <si>
    <t>https://www.bestfoodtrucks.com/blog/how-much-does-it-cost-to-start-a-food-truck</t>
  </si>
  <si>
    <t>https://www.escoffier.edu/blog/food-entrepreneurship/how-much-does-a-food-truck-cost/</t>
  </si>
  <si>
    <t>Average</t>
  </si>
  <si>
    <t>loan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</si>
</sst>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6" fontId="0" fillId="0" borderId="0" xfId="0" applyNumberFormat="1"/>
    <xf numFmtId="44" fontId="0" fillId="0" borderId="0" xfId="1" applyFont="1"/>
    <xf numFmtId="44" fontId="2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E073-515C-47CA-90D6-8430CD00445D}">
  <dimension ref="A1:J12"/>
  <sheetViews>
    <sheetView workbookViewId="0">
      <selection activeCell="A10" sqref="A10"/>
    </sheetView>
  </sheetViews>
  <sheetFormatPr defaultColWidth="16.6640625" defaultRowHeight="14.4" x14ac:dyDescent="0.3"/>
  <cols>
    <col min="1" max="1" width="2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23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17</v>
      </c>
      <c r="B2" s="2">
        <v>750</v>
      </c>
      <c r="C2" s="2">
        <v>57500</v>
      </c>
      <c r="D2" s="2">
        <v>1500</v>
      </c>
      <c r="E2" s="2"/>
      <c r="F2" s="2">
        <v>600</v>
      </c>
      <c r="G2" s="2">
        <v>1500</v>
      </c>
      <c r="H2" s="2">
        <v>2000</v>
      </c>
      <c r="I2" s="2">
        <v>250</v>
      </c>
      <c r="J2" s="2">
        <v>1250</v>
      </c>
    </row>
    <row r="3" spans="1:10" x14ac:dyDescent="0.3">
      <c r="A3" t="s">
        <v>18</v>
      </c>
      <c r="B3" s="2">
        <v>350</v>
      </c>
      <c r="C3" s="2"/>
      <c r="D3" s="2"/>
      <c r="E3" s="2"/>
      <c r="F3" s="3">
        <v>100</v>
      </c>
      <c r="G3" s="2">
        <v>2000</v>
      </c>
      <c r="H3" s="3">
        <v>500</v>
      </c>
      <c r="I3" s="2">
        <v>1000</v>
      </c>
      <c r="J3" s="2"/>
    </row>
    <row r="4" spans="1:10" x14ac:dyDescent="0.3">
      <c r="A4" t="s">
        <v>19</v>
      </c>
      <c r="B4" s="2">
        <v>28000</v>
      </c>
      <c r="C4" s="2">
        <v>102500</v>
      </c>
      <c r="D4" s="2"/>
      <c r="E4" s="2">
        <v>9000</v>
      </c>
      <c r="F4" s="2"/>
      <c r="G4" s="2">
        <v>2000</v>
      </c>
      <c r="H4" s="2">
        <v>5400</v>
      </c>
      <c r="I4" s="2"/>
      <c r="J4" s="2"/>
    </row>
    <row r="5" spans="1:10" x14ac:dyDescent="0.3">
      <c r="A5" t="s">
        <v>21</v>
      </c>
      <c r="B5" s="2">
        <v>1100</v>
      </c>
      <c r="C5" s="2">
        <v>102500</v>
      </c>
      <c r="D5" s="2"/>
      <c r="E5" s="2">
        <v>45000</v>
      </c>
      <c r="F5" s="2"/>
      <c r="G5" s="2"/>
      <c r="H5" s="2"/>
      <c r="I5" s="2"/>
      <c r="J5" s="2"/>
    </row>
    <row r="6" spans="1:10" x14ac:dyDescent="0.3">
      <c r="A6" t="s">
        <v>22</v>
      </c>
      <c r="B6" s="2">
        <v>28276</v>
      </c>
      <c r="C6" s="2">
        <v>112500</v>
      </c>
      <c r="D6" s="2">
        <v>1000</v>
      </c>
      <c r="E6" s="2">
        <v>30000</v>
      </c>
      <c r="F6" s="2"/>
      <c r="G6" s="2"/>
      <c r="H6" s="2"/>
      <c r="I6" s="2"/>
      <c r="J6" s="2"/>
    </row>
    <row r="7" spans="1:10" x14ac:dyDescent="0.3">
      <c r="A7" t="s">
        <v>24</v>
      </c>
      <c r="B7" s="2"/>
      <c r="C7" s="2">
        <v>150000</v>
      </c>
      <c r="D7" s="2"/>
      <c r="E7" s="2"/>
      <c r="F7" s="2"/>
      <c r="G7" s="2"/>
      <c r="H7" s="2">
        <v>9250</v>
      </c>
      <c r="I7" s="2"/>
      <c r="J7" s="2">
        <v>525</v>
      </c>
    </row>
    <row r="8" spans="1:10" x14ac:dyDescent="0.3">
      <c r="A8" t="s">
        <v>25</v>
      </c>
      <c r="B8" s="2">
        <v>11000</v>
      </c>
      <c r="C8" s="2">
        <v>112500</v>
      </c>
      <c r="D8" s="2">
        <v>3500</v>
      </c>
      <c r="E8" s="2"/>
      <c r="F8" s="2"/>
      <c r="G8" s="2"/>
      <c r="H8" s="2"/>
      <c r="I8" s="2"/>
      <c r="J8" s="2"/>
    </row>
    <row r="9" spans="1:10" x14ac:dyDescent="0.3">
      <c r="A9" t="s">
        <v>26</v>
      </c>
      <c r="B9" s="4">
        <f>AVERAGE(B2:B8)</f>
        <v>11579.333333333334</v>
      </c>
      <c r="C9" s="4">
        <f t="shared" ref="C9:J9" si="0">AVERAGE(C2:C8)</f>
        <v>106250</v>
      </c>
      <c r="D9" s="4">
        <f t="shared" si="0"/>
        <v>2000</v>
      </c>
      <c r="E9" s="4">
        <f t="shared" si="0"/>
        <v>28000</v>
      </c>
      <c r="F9" s="4">
        <f t="shared" si="0"/>
        <v>350</v>
      </c>
      <c r="G9" s="4">
        <f t="shared" si="0"/>
        <v>1833.3333333333333</v>
      </c>
      <c r="H9" s="4">
        <f t="shared" si="0"/>
        <v>4287.5</v>
      </c>
      <c r="I9" s="4">
        <f t="shared" si="0"/>
        <v>625</v>
      </c>
      <c r="J9" s="4">
        <f t="shared" si="0"/>
        <v>887.5</v>
      </c>
    </row>
    <row r="10" spans="1:10" x14ac:dyDescent="0.3">
      <c r="B10" s="1"/>
    </row>
    <row r="11" spans="1:10" x14ac:dyDescent="0.3">
      <c r="B11" s="1"/>
    </row>
    <row r="12" spans="1:10" x14ac:dyDescent="0.3">
      <c r="B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8FE4-2033-49F6-B79E-2A5CE09C0D23}">
  <dimension ref="A1:I10"/>
  <sheetViews>
    <sheetView workbookViewId="0">
      <selection activeCell="I2" sqref="I2"/>
    </sheetView>
  </sheetViews>
  <sheetFormatPr defaultRowHeight="14.4" x14ac:dyDescent="0.3"/>
  <cols>
    <col min="1" max="1" width="11.33203125" customWidth="1"/>
    <col min="2" max="2" width="11.77734375" customWidth="1"/>
    <col min="3" max="3" width="13.109375" customWidth="1"/>
    <col min="4" max="4" width="14" customWidth="1"/>
    <col min="5" max="5" width="14.44140625" customWidth="1"/>
    <col min="6" max="6" width="18" customWidth="1"/>
    <col min="7" max="7" width="12.77734375" customWidth="1"/>
    <col min="8" max="8" width="17.88671875" customWidth="1"/>
    <col min="9" max="9" width="16" customWidth="1"/>
  </cols>
  <sheetData>
    <row r="1" spans="1:9" x14ac:dyDescent="0.3">
      <c r="B1" t="s">
        <v>17</v>
      </c>
      <c r="C1" t="s">
        <v>18</v>
      </c>
      <c r="D1" t="s">
        <v>19</v>
      </c>
      <c r="E1" t="s">
        <v>21</v>
      </c>
      <c r="F1" t="s">
        <v>22</v>
      </c>
      <c r="G1" t="s">
        <v>24</v>
      </c>
      <c r="H1" t="s">
        <v>25</v>
      </c>
      <c r="I1" t="s">
        <v>26</v>
      </c>
    </row>
    <row r="2" spans="1:9" x14ac:dyDescent="0.3">
      <c r="A2" t="s">
        <v>0</v>
      </c>
      <c r="B2" s="2">
        <v>750</v>
      </c>
      <c r="C2" s="2">
        <v>350</v>
      </c>
      <c r="D2" s="2">
        <v>28000</v>
      </c>
      <c r="E2" s="2">
        <v>1100</v>
      </c>
      <c r="F2" s="2">
        <v>28276</v>
      </c>
      <c r="G2" s="2"/>
      <c r="H2" s="2">
        <v>11000</v>
      </c>
      <c r="I2" s="4">
        <f>AVERAGE(B2:H2)</f>
        <v>11579.333333333334</v>
      </c>
    </row>
    <row r="3" spans="1:9" x14ac:dyDescent="0.3">
      <c r="A3" t="s">
        <v>1</v>
      </c>
      <c r="B3" s="2">
        <v>57500</v>
      </c>
      <c r="C3" s="2"/>
      <c r="D3" s="2">
        <v>102500</v>
      </c>
      <c r="E3" s="2">
        <v>102500</v>
      </c>
      <c r="F3" s="2">
        <v>112500</v>
      </c>
      <c r="G3" s="2">
        <v>150000</v>
      </c>
      <c r="H3" s="2">
        <v>112500</v>
      </c>
      <c r="I3" s="4">
        <f t="shared" ref="I3:I10" si="0">AVERAGE(B3:H3)</f>
        <v>106250</v>
      </c>
    </row>
    <row r="4" spans="1:9" x14ac:dyDescent="0.3">
      <c r="A4" t="s">
        <v>2</v>
      </c>
      <c r="B4" s="2">
        <v>1500</v>
      </c>
      <c r="C4" s="2"/>
      <c r="D4" s="2"/>
      <c r="E4" s="2"/>
      <c r="F4" s="2">
        <v>1000</v>
      </c>
      <c r="G4" s="2"/>
      <c r="H4" s="2">
        <v>3500</v>
      </c>
      <c r="I4" s="4">
        <f t="shared" si="0"/>
        <v>2000</v>
      </c>
    </row>
    <row r="5" spans="1:9" x14ac:dyDescent="0.3">
      <c r="A5" t="s">
        <v>23</v>
      </c>
      <c r="B5" s="2"/>
      <c r="C5" s="2"/>
      <c r="D5" s="2">
        <v>9000</v>
      </c>
      <c r="E5" s="2">
        <v>45000</v>
      </c>
      <c r="F5" s="2">
        <v>30000</v>
      </c>
      <c r="G5" s="2"/>
      <c r="H5" s="2"/>
      <c r="I5" s="4">
        <f t="shared" si="0"/>
        <v>28000</v>
      </c>
    </row>
    <row r="6" spans="1:9" x14ac:dyDescent="0.3">
      <c r="A6" t="s">
        <v>3</v>
      </c>
      <c r="B6" s="2">
        <v>600</v>
      </c>
      <c r="C6" s="3">
        <v>100</v>
      </c>
      <c r="D6" s="2"/>
      <c r="E6" s="2"/>
      <c r="F6" s="2"/>
      <c r="G6" s="2"/>
      <c r="H6" s="2"/>
      <c r="I6" s="4">
        <f t="shared" si="0"/>
        <v>350</v>
      </c>
    </row>
    <row r="7" spans="1:9" x14ac:dyDescent="0.3">
      <c r="A7" t="s">
        <v>4</v>
      </c>
      <c r="B7" s="2">
        <v>1500</v>
      </c>
      <c r="C7" s="2">
        <v>2000</v>
      </c>
      <c r="D7" s="2">
        <v>2000</v>
      </c>
      <c r="E7" s="2"/>
      <c r="F7" s="2"/>
      <c r="G7" s="2"/>
      <c r="H7" s="2"/>
      <c r="I7" s="4">
        <f t="shared" si="0"/>
        <v>1833.3333333333333</v>
      </c>
    </row>
    <row r="8" spans="1:9" x14ac:dyDescent="0.3">
      <c r="A8" t="s">
        <v>5</v>
      </c>
      <c r="B8" s="2">
        <v>2000</v>
      </c>
      <c r="C8" s="3">
        <v>500</v>
      </c>
      <c r="D8" s="2">
        <v>5400</v>
      </c>
      <c r="E8" s="2"/>
      <c r="F8" s="2"/>
      <c r="G8" s="2">
        <v>9250</v>
      </c>
      <c r="H8" s="2"/>
      <c r="I8" s="4">
        <f t="shared" si="0"/>
        <v>4287.5</v>
      </c>
    </row>
    <row r="9" spans="1:9" x14ac:dyDescent="0.3">
      <c r="A9" t="s">
        <v>6</v>
      </c>
      <c r="B9" s="2">
        <v>250</v>
      </c>
      <c r="C9" s="2">
        <v>1000</v>
      </c>
      <c r="D9" s="2"/>
      <c r="E9" s="2"/>
      <c r="F9" s="2"/>
      <c r="G9" s="2"/>
      <c r="H9" s="2"/>
      <c r="I9" s="4">
        <f t="shared" si="0"/>
        <v>625</v>
      </c>
    </row>
    <row r="10" spans="1:9" x14ac:dyDescent="0.3">
      <c r="A10" t="s">
        <v>7</v>
      </c>
      <c r="B10" s="2">
        <v>1250</v>
      </c>
      <c r="C10" s="2"/>
      <c r="D10" s="2"/>
      <c r="E10" s="2"/>
      <c r="F10" s="2"/>
      <c r="G10" s="2">
        <v>525</v>
      </c>
      <c r="H10" s="2"/>
      <c r="I10" s="4">
        <f t="shared" si="0"/>
        <v>887.5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DB25-8217-4F65-A46D-E703DB2E5BF5}">
  <dimension ref="A1:M8"/>
  <sheetViews>
    <sheetView workbookViewId="0">
      <selection activeCell="M2" sqref="M2"/>
    </sheetView>
  </sheetViews>
  <sheetFormatPr defaultRowHeight="14.4" x14ac:dyDescent="0.3"/>
  <cols>
    <col min="1" max="1" width="23.44140625" customWidth="1"/>
    <col min="2" max="2" width="20.33203125" customWidth="1"/>
    <col min="3" max="3" width="9" bestFit="1" customWidth="1"/>
    <col min="4" max="4" width="10.21875" bestFit="1" customWidth="1"/>
    <col min="5" max="7" width="9" bestFit="1" customWidth="1"/>
    <col min="8" max="8" width="10.21875" bestFit="1" customWidth="1"/>
    <col min="9" max="9" width="9" bestFit="1" customWidth="1"/>
    <col min="10" max="10" width="10.21875" bestFit="1" customWidth="1"/>
    <col min="11" max="11" width="9" bestFit="1" customWidth="1"/>
    <col min="12" max="12" width="10.21875" bestFit="1" customWidth="1"/>
  </cols>
  <sheetData>
    <row r="1" spans="1:13" x14ac:dyDescent="0.3">
      <c r="B1" t="s">
        <v>13</v>
      </c>
      <c r="C1" t="s">
        <v>8</v>
      </c>
      <c r="D1" t="s">
        <v>9</v>
      </c>
      <c r="E1" t="s">
        <v>6</v>
      </c>
      <c r="F1" t="s">
        <v>10</v>
      </c>
      <c r="G1" t="s">
        <v>11</v>
      </c>
      <c r="H1" t="s">
        <v>12</v>
      </c>
      <c r="I1" t="s">
        <v>14</v>
      </c>
      <c r="J1" t="s">
        <v>15</v>
      </c>
      <c r="K1" t="s">
        <v>16</v>
      </c>
      <c r="L1" t="s">
        <v>20</v>
      </c>
      <c r="M1" t="s">
        <v>27</v>
      </c>
    </row>
    <row r="2" spans="1:13" x14ac:dyDescent="0.3">
      <c r="A2" t="s">
        <v>17</v>
      </c>
      <c r="B2" s="2"/>
      <c r="C2" s="2">
        <v>250</v>
      </c>
      <c r="D2" s="2"/>
      <c r="E2" s="2"/>
      <c r="F2" s="2">
        <v>350</v>
      </c>
      <c r="G2" s="2">
        <v>150</v>
      </c>
      <c r="H2" s="2">
        <v>1500</v>
      </c>
      <c r="I2" s="2"/>
      <c r="J2" s="2"/>
      <c r="K2" s="2"/>
      <c r="L2" s="2"/>
    </row>
    <row r="3" spans="1:13" x14ac:dyDescent="0.3">
      <c r="A3" t="s">
        <v>19</v>
      </c>
      <c r="B3" s="2"/>
      <c r="C3" s="2">
        <v>83.33</v>
      </c>
      <c r="D3" s="2">
        <v>3000</v>
      </c>
      <c r="E3" s="2"/>
      <c r="F3" s="2">
        <v>650</v>
      </c>
      <c r="G3" s="2"/>
      <c r="H3" s="2"/>
      <c r="I3" s="2"/>
      <c r="J3" s="2"/>
      <c r="K3" s="2">
        <v>100</v>
      </c>
      <c r="L3" s="2">
        <v>9000</v>
      </c>
    </row>
    <row r="4" spans="1:13" x14ac:dyDescent="0.3">
      <c r="A4" t="s">
        <v>21</v>
      </c>
      <c r="B4" s="2">
        <v>750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3" x14ac:dyDescent="0.3">
      <c r="A5" t="s">
        <v>22</v>
      </c>
      <c r="B5" s="2"/>
      <c r="C5" s="2">
        <v>83.33</v>
      </c>
      <c r="D5" s="2">
        <v>4000</v>
      </c>
      <c r="E5" s="2"/>
      <c r="F5" s="2">
        <v>600</v>
      </c>
      <c r="G5" s="2"/>
      <c r="H5" s="2"/>
      <c r="I5" s="2"/>
      <c r="J5" s="2">
        <v>4000</v>
      </c>
      <c r="K5" s="2"/>
      <c r="L5" s="2">
        <v>3000</v>
      </c>
    </row>
    <row r="6" spans="1:13" x14ac:dyDescent="0.3">
      <c r="A6" t="s">
        <v>24</v>
      </c>
      <c r="B6" s="2"/>
      <c r="C6" s="2">
        <v>291.67</v>
      </c>
      <c r="D6" s="2"/>
      <c r="E6" s="2"/>
      <c r="F6" s="2"/>
      <c r="G6" s="2"/>
      <c r="H6" s="2">
        <v>1375</v>
      </c>
      <c r="I6" s="2">
        <v>229.16</v>
      </c>
      <c r="J6" s="2"/>
      <c r="K6" s="2"/>
      <c r="L6" s="2"/>
    </row>
    <row r="7" spans="1:13" x14ac:dyDescent="0.3">
      <c r="A7" t="s">
        <v>25</v>
      </c>
      <c r="B7" s="2">
        <v>950</v>
      </c>
      <c r="C7" s="2"/>
      <c r="D7" s="2"/>
      <c r="E7" s="2">
        <v>250</v>
      </c>
      <c r="F7" s="2"/>
      <c r="G7" s="2">
        <v>162.5</v>
      </c>
      <c r="H7" s="2"/>
      <c r="I7" s="2"/>
      <c r="J7" s="2">
        <v>750</v>
      </c>
      <c r="K7" s="2">
        <v>162.5</v>
      </c>
      <c r="L7" s="2"/>
    </row>
    <row r="8" spans="1:13" x14ac:dyDescent="0.3">
      <c r="B8" s="4">
        <f>AVERAGE(B2:B7)</f>
        <v>850</v>
      </c>
      <c r="C8" s="4">
        <f t="shared" ref="C8:L8" si="0">AVERAGE(C2:C7)</f>
        <v>177.08249999999998</v>
      </c>
      <c r="D8" s="4">
        <f t="shared" si="0"/>
        <v>3500</v>
      </c>
      <c r="E8" s="4">
        <f t="shared" si="0"/>
        <v>250</v>
      </c>
      <c r="F8" s="4">
        <f t="shared" si="0"/>
        <v>533.33333333333337</v>
      </c>
      <c r="G8" s="4">
        <f t="shared" si="0"/>
        <v>156.25</v>
      </c>
      <c r="H8" s="4">
        <f t="shared" si="0"/>
        <v>1437.5</v>
      </c>
      <c r="I8" s="4">
        <f t="shared" si="0"/>
        <v>229.16</v>
      </c>
      <c r="J8" s="4">
        <f t="shared" si="0"/>
        <v>2375</v>
      </c>
      <c r="K8" s="4">
        <f t="shared" si="0"/>
        <v>131.25</v>
      </c>
      <c r="L8" s="4">
        <f t="shared" si="0"/>
        <v>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F3C0-2FD6-42FA-AAD3-B3E0F999AEAA}">
  <dimension ref="A1:H12"/>
  <sheetViews>
    <sheetView workbookViewId="0">
      <selection activeCell="H2" sqref="H2"/>
    </sheetView>
  </sheetViews>
  <sheetFormatPr defaultRowHeight="14.4" x14ac:dyDescent="0.3"/>
  <cols>
    <col min="1" max="1" width="15.109375" customWidth="1"/>
    <col min="2" max="2" width="15.5546875" customWidth="1"/>
    <col min="3" max="3" width="13.6640625" customWidth="1"/>
    <col min="4" max="4" width="15.6640625" customWidth="1"/>
    <col min="5" max="5" width="13" customWidth="1"/>
    <col min="6" max="6" width="11.109375" customWidth="1"/>
    <col min="8" max="8" width="16.88671875" customWidth="1"/>
  </cols>
  <sheetData>
    <row r="1" spans="1:8" x14ac:dyDescent="0.3">
      <c r="B1" t="s">
        <v>17</v>
      </c>
      <c r="C1" t="s">
        <v>19</v>
      </c>
      <c r="D1" t="s">
        <v>21</v>
      </c>
      <c r="E1" t="s">
        <v>22</v>
      </c>
      <c r="F1" t="s">
        <v>24</v>
      </c>
      <c r="G1" t="s">
        <v>25</v>
      </c>
      <c r="H1" t="s">
        <v>26</v>
      </c>
    </row>
    <row r="2" spans="1:8" x14ac:dyDescent="0.3">
      <c r="A2" t="s">
        <v>13</v>
      </c>
      <c r="B2" s="2"/>
      <c r="C2" s="2"/>
      <c r="D2" s="2">
        <v>750</v>
      </c>
      <c r="E2" s="2"/>
      <c r="F2" s="2"/>
      <c r="G2" s="2">
        <v>950</v>
      </c>
      <c r="H2" s="4">
        <f>AVERAGE(B2:G2)</f>
        <v>850</v>
      </c>
    </row>
    <row r="3" spans="1:8" x14ac:dyDescent="0.3">
      <c r="A3" t="s">
        <v>8</v>
      </c>
      <c r="B3" s="2">
        <v>250</v>
      </c>
      <c r="C3" s="2">
        <v>83.33</v>
      </c>
      <c r="D3" s="2"/>
      <c r="E3" s="2">
        <v>83.33</v>
      </c>
      <c r="F3" s="2">
        <v>291.67</v>
      </c>
      <c r="G3" s="2"/>
      <c r="H3" s="4">
        <f t="shared" ref="H3:H11" si="0">AVERAGE(B3:G3)</f>
        <v>177.08249999999998</v>
      </c>
    </row>
    <row r="4" spans="1:8" x14ac:dyDescent="0.3">
      <c r="A4" t="s">
        <v>9</v>
      </c>
      <c r="B4" s="2"/>
      <c r="C4" s="2">
        <v>3000</v>
      </c>
      <c r="D4" s="2"/>
      <c r="E4" s="2">
        <v>4000</v>
      </c>
      <c r="F4" s="2"/>
      <c r="G4" s="2"/>
      <c r="H4" s="4">
        <f t="shared" si="0"/>
        <v>3500</v>
      </c>
    </row>
    <row r="5" spans="1:8" x14ac:dyDescent="0.3">
      <c r="A5" t="s">
        <v>6</v>
      </c>
      <c r="B5" s="2"/>
      <c r="C5" s="2"/>
      <c r="D5" s="2"/>
      <c r="E5" s="2"/>
      <c r="F5" s="2"/>
      <c r="G5" s="2">
        <v>250</v>
      </c>
      <c r="H5" s="4">
        <f t="shared" si="0"/>
        <v>250</v>
      </c>
    </row>
    <row r="6" spans="1:8" x14ac:dyDescent="0.3">
      <c r="A6" t="s">
        <v>10</v>
      </c>
      <c r="B6" s="2">
        <v>350</v>
      </c>
      <c r="C6" s="2">
        <v>650</v>
      </c>
      <c r="D6" s="2"/>
      <c r="E6" s="2">
        <v>600</v>
      </c>
      <c r="F6" s="2"/>
      <c r="G6" s="2"/>
      <c r="H6" s="4">
        <f t="shared" si="0"/>
        <v>533.33333333333337</v>
      </c>
    </row>
    <row r="7" spans="1:8" x14ac:dyDescent="0.3">
      <c r="A7" t="s">
        <v>11</v>
      </c>
      <c r="B7" s="2">
        <v>150</v>
      </c>
      <c r="C7" s="2"/>
      <c r="D7" s="2"/>
      <c r="E7" s="2"/>
      <c r="F7" s="2"/>
      <c r="G7" s="2">
        <v>162.5</v>
      </c>
      <c r="H7" s="4">
        <f t="shared" si="0"/>
        <v>156.25</v>
      </c>
    </row>
    <row r="8" spans="1:8" x14ac:dyDescent="0.3">
      <c r="A8" t="s">
        <v>12</v>
      </c>
      <c r="B8" s="2">
        <v>1500</v>
      </c>
      <c r="C8" s="2"/>
      <c r="D8" s="2"/>
      <c r="E8" s="2"/>
      <c r="F8" s="2">
        <v>1375</v>
      </c>
      <c r="G8" s="2"/>
      <c r="H8" s="4">
        <f t="shared" si="0"/>
        <v>1437.5</v>
      </c>
    </row>
    <row r="9" spans="1:8" x14ac:dyDescent="0.3">
      <c r="A9" t="s">
        <v>14</v>
      </c>
      <c r="B9" s="2"/>
      <c r="C9" s="2"/>
      <c r="D9" s="2"/>
      <c r="E9" s="2"/>
      <c r="F9" s="2">
        <v>229.16</v>
      </c>
      <c r="G9" s="2"/>
      <c r="H9" s="4">
        <f t="shared" si="0"/>
        <v>229.16</v>
      </c>
    </row>
    <row r="10" spans="1:8" x14ac:dyDescent="0.3">
      <c r="A10" t="s">
        <v>15</v>
      </c>
      <c r="B10" s="2"/>
      <c r="C10" s="2"/>
      <c r="D10" s="2"/>
      <c r="E10" s="2">
        <v>4000</v>
      </c>
      <c r="F10" s="2"/>
      <c r="G10" s="2">
        <v>750</v>
      </c>
      <c r="H10" s="4">
        <f t="shared" si="0"/>
        <v>2375</v>
      </c>
    </row>
    <row r="11" spans="1:8" x14ac:dyDescent="0.3">
      <c r="A11" t="s">
        <v>16</v>
      </c>
      <c r="B11" s="2"/>
      <c r="C11" s="2">
        <v>100</v>
      </c>
      <c r="D11" s="2"/>
      <c r="E11" s="2"/>
      <c r="F11" s="2"/>
      <c r="G11" s="2">
        <v>162.5</v>
      </c>
      <c r="H11" s="4">
        <f t="shared" si="0"/>
        <v>131.25</v>
      </c>
    </row>
    <row r="12" spans="1:8" x14ac:dyDescent="0.3">
      <c r="A12" t="s">
        <v>20</v>
      </c>
      <c r="B12" s="2"/>
      <c r="C12" s="2">
        <v>9000</v>
      </c>
      <c r="D12" s="2"/>
      <c r="E12" s="2">
        <v>3000</v>
      </c>
      <c r="F12" s="2"/>
      <c r="G12" s="2"/>
      <c r="H12" s="4">
        <f>AVERAGE(B12:G12)</f>
        <v>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9931-04FE-4F0D-8BDC-B375A850EEB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startup_costs</vt:lpstr>
      <vt:lpstr>startup_costs_transposed</vt:lpstr>
      <vt:lpstr>operating_costs</vt:lpstr>
      <vt:lpstr>operating_costs_transposed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Pontius</dc:creator>
  <cp:lastModifiedBy>Marc Pontius</cp:lastModifiedBy>
  <dcterms:created xsi:type="dcterms:W3CDTF">2025-11-10T14:36:10Z</dcterms:created>
  <dcterms:modified xsi:type="dcterms:W3CDTF">2025-11-12T16:58:44Z</dcterms:modified>
</cp:coreProperties>
</file>